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yam.j.AMEYA\Desktop\"/>
    </mc:Choice>
  </mc:AlternateContent>
  <bookViews>
    <workbookView xWindow="0" yWindow="0" windowWidth="20490" windowHeight="7755" tabRatio="602" activeTab="1"/>
  </bookViews>
  <sheets>
    <sheet name="WORKING " sheetId="9" r:id="rId1"/>
    <sheet name="PACKINGLIST" sheetId="4" r:id="rId2"/>
  </sheets>
  <calcPr calcId="152511"/>
</workbook>
</file>

<file path=xl/calcChain.xml><?xml version="1.0" encoding="utf-8"?>
<calcChain xmlns="http://schemas.openxmlformats.org/spreadsheetml/2006/main">
  <c r="I24" i="9" l="1"/>
  <c r="I26" i="9" s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" i="9"/>
  <c r="G24" i="9"/>
  <c r="J54" i="4" l="1"/>
  <c r="I54" i="4"/>
  <c r="J53" i="4"/>
  <c r="I53" i="4"/>
  <c r="H54" i="4"/>
  <c r="H53" i="4"/>
  <c r="J50" i="4" l="1"/>
  <c r="I50" i="4"/>
  <c r="H50" i="4"/>
  <c r="I40" i="4"/>
  <c r="H40" i="4"/>
  <c r="J40" i="4" l="1"/>
  <c r="I58" i="4"/>
  <c r="F7" i="4"/>
  <c r="F6" i="4"/>
</calcChain>
</file>

<file path=xl/sharedStrings.xml><?xml version="1.0" encoding="utf-8"?>
<sst xmlns="http://schemas.openxmlformats.org/spreadsheetml/2006/main" count="248" uniqueCount="149">
  <si>
    <t>P.O.NO.</t>
  </si>
  <si>
    <t>SR. NO.</t>
  </si>
  <si>
    <t>ITEM DESCRIPTION</t>
  </si>
  <si>
    <t>MATL.</t>
  </si>
  <si>
    <t>PART NO.</t>
  </si>
  <si>
    <t>DRAWING NO.</t>
  </si>
  <si>
    <t>QTY</t>
  </si>
  <si>
    <t>SEA</t>
  </si>
  <si>
    <t>Shaft SCV DN200/NPS8 - max. CL900 DW32 - M12 - L325,5</t>
  </si>
  <si>
    <t>1.4057+QT800 - EN 10272</t>
  </si>
  <si>
    <t>30S25QXH13-C</t>
  </si>
  <si>
    <t>Drive shaft SCV DN200/NPS8 - max. CL900 DW 32 - SW22 - L267,5</t>
  </si>
  <si>
    <t>30S25QX-00002</t>
  </si>
  <si>
    <t>Shaft SCV DN300NPS12 - CL300+600 DW40 - M12 - L389,5</t>
  </si>
  <si>
    <t>30S27QX-00005</t>
  </si>
  <si>
    <t>Drive shaft SCV DN300+350/NPS12+14 - CL300 DW40 - SW22 - L267,5</t>
  </si>
  <si>
    <t>30S28UX-00002</t>
  </si>
  <si>
    <t>Shaft SCV DN350/NPS14 - CL300+600 DW40 - M12 - L419,5</t>
  </si>
  <si>
    <t>30S28QXH13-C</t>
  </si>
  <si>
    <t>Shaft SCV DN450/NPS18 - CL300+600 DW60 - M12 - L548</t>
  </si>
  <si>
    <t>30S30QXH13-B</t>
  </si>
  <si>
    <t>Drive shaft SCV DN450/NPS18 - CL300 DW60 - SW27 - L352</t>
  </si>
  <si>
    <t>30S30UX-00002</t>
  </si>
  <si>
    <t>Shaft SCV DN700/NPS28 - CL300+600 DW95 - M12 - L804</t>
  </si>
  <si>
    <t>30S35QX-00005</t>
  </si>
  <si>
    <t>Drive shaft SCV DN700+750/NPS28+30 - CL150 DW95 - SW46 - L456</t>
  </si>
  <si>
    <t>30S36NXZ33-B</t>
  </si>
  <si>
    <t>Drive shaft SCV DN300+350/NPS12+14 - CL600 DW40 - SW27 - L276,5</t>
  </si>
  <si>
    <t>30S28QX-00002</t>
  </si>
  <si>
    <t>Drive shaft SCV DN150/NPS6 - CL300+600 DW25 - SW17 - L450,5 - HLGV</t>
  </si>
  <si>
    <t>ASTM A 276 XM-19 (S20910), YS Min 380 MPa NACE MR0175</t>
  </si>
  <si>
    <t>3003079147-D</t>
  </si>
  <si>
    <t>Shaft SCV DN400/NPS16 - CL300+600 DW50 - M12 - L483,5</t>
  </si>
  <si>
    <t>30S29QXH13-C</t>
  </si>
  <si>
    <t>Drive shaft SCV DN400/NPS16 - CL300+600 DW50 - SW27 - L339,5</t>
  </si>
  <si>
    <t>30S29QXZ33-D</t>
  </si>
  <si>
    <t>Shaft SCV DN500/NPS20 - CL300+600 DW70 - M12 - L576</t>
  </si>
  <si>
    <t>30S31QW-00002</t>
  </si>
  <si>
    <t>Drive shaft SCV DN500+550/NPS20+22 - CL300+600 DW70 - SW46 - L406</t>
  </si>
  <si>
    <t>30S32QXZ33-D</t>
  </si>
  <si>
    <t>Shaft SCV DN650/NPS26 - max. CL900 DW80 - M12 - L726</t>
  </si>
  <si>
    <t>30S34QXH13</t>
  </si>
  <si>
    <t>Drive shaft SCV DN600+650 - CL300+600 DW80 - SW46 - L425</t>
  </si>
  <si>
    <t>30S34QX-00002</t>
  </si>
  <si>
    <t>Shaft SCV DN350/NPS14 - CL900 DW40 - M12 - L451,5</t>
  </si>
  <si>
    <t>Bolt D90 x L151 - Lges258</t>
  </si>
  <si>
    <t>32610090150C0BMZ/WN460701-A</t>
  </si>
  <si>
    <t>WT
(EACH)</t>
  </si>
  <si>
    <t>TOTAL
WT.</t>
  </si>
  <si>
    <t>EMPTY BOX WT.</t>
  </si>
  <si>
    <t>BOX SIZE : AS PER PACKING-LIST</t>
  </si>
  <si>
    <t>NET WT. 1385.000 Kgs</t>
  </si>
  <si>
    <t>EMPTY BOX WT. 70.000 Kgs</t>
  </si>
  <si>
    <t>TOTAL GR. WT : 1455.000 Kgs</t>
  </si>
  <si>
    <t>NO. OF BOXES : 03 WOODEN BOXES.</t>
  </si>
  <si>
    <t xml:space="preserve">PACKING LIST </t>
  </si>
  <si>
    <t>EXPORTER</t>
  </si>
  <si>
    <t xml:space="preserve"> INVOICE NO. &amp; DATE</t>
  </si>
  <si>
    <t xml:space="preserve">EXP  REF: IEC NO </t>
  </si>
  <si>
    <t>AMEYA PRECISION ENGINEERS LTD</t>
  </si>
  <si>
    <t>GAT NO-345, VILLAGE KASURDI (KB), PUNE SATARA ROAD</t>
  </si>
  <si>
    <t>DTD : 22.02.2013.</t>
  </si>
  <si>
    <t>TAL - BHOR, DIST PUNE- 412 205</t>
  </si>
  <si>
    <t>GST INVOICE NO &amp; DATE</t>
  </si>
  <si>
    <t>GSTN NO.</t>
  </si>
  <si>
    <t>(MAHARASHTRA  INDIA)</t>
  </si>
  <si>
    <t>27AALCA1679DIZM</t>
  </si>
  <si>
    <t>PAN NO.AALCA1679D</t>
  </si>
  <si>
    <t xml:space="preserve">PH. NO.+91-9552589861       FAX:- </t>
  </si>
  <si>
    <r>
      <t>BUYERS ORDER NO. &amp; DATE  :</t>
    </r>
    <r>
      <rPr>
        <b/>
        <sz val="8.5"/>
        <rFont val="Calibri"/>
        <family val="2"/>
      </rPr>
      <t xml:space="preserve">  </t>
    </r>
  </si>
  <si>
    <t xml:space="preserve">SUPPLIER CODE NO </t>
  </si>
  <si>
    <t>AS PER PURCHASE ORDER</t>
  </si>
  <si>
    <t>CONSIGNEE</t>
  </si>
  <si>
    <t>OTHER REFERENCE(S) :</t>
  </si>
  <si>
    <t>ADAMS  ARMATUREN Gmbh</t>
  </si>
  <si>
    <t>BAUKAUER STR. 55.</t>
  </si>
  <si>
    <t>BUYER (IF OTHER THAN CONSIGNEE)</t>
  </si>
  <si>
    <t>44653, HERNE</t>
  </si>
  <si>
    <t>GERMANY</t>
  </si>
  <si>
    <t>COUNTRY   OF</t>
  </si>
  <si>
    <t xml:space="preserve">COUNTRY OF FINAL </t>
  </si>
  <si>
    <t>KIND ATTN:- KARIN ADLOFF</t>
  </si>
  <si>
    <t>ORIGIN</t>
  </si>
  <si>
    <t>DESTINATION</t>
  </si>
  <si>
    <t>Ph. No. 02323 209 176 , FAX NO. 02323  285-289</t>
  </si>
  <si>
    <t>INDIA</t>
  </si>
  <si>
    <t>PRECARRIAGE BY</t>
  </si>
  <si>
    <t>PLACE OF RECEIPT</t>
  </si>
  <si>
    <t>TERMS , DELIVERY &amp; PAYMENTS</t>
  </si>
  <si>
    <t xml:space="preserve"> BY PRECARRIER</t>
  </si>
  <si>
    <t xml:space="preserve">45 DAYS AGAINST BL DATE. </t>
  </si>
  <si>
    <t>BY TRUCK</t>
  </si>
  <si>
    <t>MUMBAI</t>
  </si>
  <si>
    <t>REF. CC. ACCOUNT NO 50200034676483,</t>
  </si>
  <si>
    <t>VESSEL/ FLIGHT NO.</t>
  </si>
  <si>
    <t>PORT OF LOADING</t>
  </si>
  <si>
    <t>BANKERS NAME : HDFC BANK LTD.</t>
  </si>
  <si>
    <t>J.N.P.T.-  MUMBAI</t>
  </si>
  <si>
    <t>SHIRWAL BARANCE, PLOT NO - 3, RUYA NAGAR,</t>
  </si>
  <si>
    <t>PORT OF DISCHARGE</t>
  </si>
  <si>
    <t>FINAL DESTINATION</t>
  </si>
  <si>
    <t>PUNE-SATARA HIGHWAY, SHIRWAL, MAHARASHTRA,</t>
  </si>
  <si>
    <t>HAMBURG</t>
  </si>
  <si>
    <t>INDIA SWIFT CODE : HDFCINBBXXX</t>
  </si>
  <si>
    <t>MARKS &amp; NO.S</t>
  </si>
  <si>
    <t>NO. OF KIND</t>
  </si>
  <si>
    <t>PART NO /  DESCRIPTION</t>
  </si>
  <si>
    <t>C I F  HAMBURG</t>
  </si>
  <si>
    <t>OF GOODS.</t>
  </si>
  <si>
    <t>OF PAKGS</t>
  </si>
  <si>
    <t>REMARKS</t>
  </si>
  <si>
    <t>CONTAINER NO.</t>
  </si>
  <si>
    <t xml:space="preserve">05 WOODEN </t>
  </si>
  <si>
    <t>PARTS OF VALVES</t>
  </si>
  <si>
    <t>UNDER DRAWBACK</t>
  </si>
  <si>
    <t>NET</t>
  </si>
  <si>
    <t xml:space="preserve">GROSS </t>
  </si>
  <si>
    <t xml:space="preserve"> BOXES</t>
  </si>
  <si>
    <t>H.S. CODE : 84819090</t>
  </si>
  <si>
    <t>SR. NO. 848199 B</t>
  </si>
  <si>
    <t>WT.</t>
  </si>
  <si>
    <t xml:space="preserve"> PO NO</t>
  </si>
  <si>
    <t>SR.</t>
  </si>
  <si>
    <t>ITEM</t>
  </si>
  <si>
    <t>INDENT NO</t>
  </si>
  <si>
    <t>DRG.NO.</t>
  </si>
  <si>
    <t>Kgs.</t>
  </si>
  <si>
    <t>TO:-</t>
  </si>
  <si>
    <t>ADAMS ARMATUREN</t>
  </si>
  <si>
    <t>BOX NO: 01</t>
  </si>
  <si>
    <t>Gmbh</t>
  </si>
  <si>
    <t>44656, HERNE,</t>
  </si>
  <si>
    <t>BOX NO: 02</t>
  </si>
  <si>
    <t>FROM</t>
  </si>
  <si>
    <t>AMEYA PRECISION</t>
  </si>
  <si>
    <t>TOTAL</t>
  </si>
  <si>
    <t>ENGINEERS LTD.,</t>
  </si>
  <si>
    <t>PUNE - 412 205</t>
  </si>
  <si>
    <t>MAHARASHTRA</t>
  </si>
  <si>
    <t xml:space="preserve">INDIA </t>
  </si>
  <si>
    <t xml:space="preserve">SIGNATURE &amp; DATE                               </t>
  </si>
  <si>
    <t>BOX SIZE  30"X 24"X 23"</t>
  </si>
  <si>
    <t>BOX SIZE  24"X 23"X 24"</t>
  </si>
  <si>
    <t>BOX SIZE  36"X 21"X 20"</t>
  </si>
  <si>
    <t>BOX NO: 03</t>
  </si>
  <si>
    <t>DESP.
QTY.</t>
  </si>
  <si>
    <t>BOX NO.</t>
  </si>
  <si>
    <t>NET WT.</t>
  </si>
  <si>
    <t>GROSS WT.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</si>
</sst>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0.000"/>
    <numFmt numFmtId="171" formatCode="[$-14009]dd/mm/yyyy;@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8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8.5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8"/>
      <name val="Calibri"/>
      <family val="2"/>
    </font>
    <font>
      <b/>
      <sz val="14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10" fillId="0" borderId="0"/>
  </cellStyleXfs>
  <cellXfs count="210">
    <xf numFmtId="0" fontId="0" fillId="0" borderId="0" xfId="0"/>
    <xf numFmtId="0" fontId="0" fillId="0" borderId="1" xfId="0" applyBorder="1"/>
    <xf numFmtId="49" fontId="7" fillId="0" borderId="1" xfId="2" applyNumberFormat="1" applyFont="1" applyBorder="1" applyAlignment="1">
      <alignment horizontal="center" vertical="top" wrapText="1"/>
    </xf>
    <xf numFmtId="0" fontId="7" fillId="0" borderId="1" xfId="2" applyFont="1" applyBorder="1" applyAlignment="1">
      <alignment horizontal="center" vertical="top" wrapText="1"/>
    </xf>
    <xf numFmtId="1" fontId="7" fillId="0" borderId="1" xfId="2" applyNumberFormat="1" applyFont="1" applyBorder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 wrapText="1"/>
    </xf>
    <xf numFmtId="0" fontId="8" fillId="0" borderId="1" xfId="1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170" fontId="9" fillId="0" borderId="1" xfId="0" applyNumberFormat="1" applyFont="1" applyBorder="1" applyAlignment="1">
      <alignment horizontal="right" vertical="top"/>
    </xf>
    <xf numFmtId="170" fontId="9" fillId="0" borderId="1" xfId="0" applyNumberFormat="1" applyFont="1" applyBorder="1"/>
    <xf numFmtId="0" fontId="12" fillId="0" borderId="7" xfId="5" applyFont="1" applyBorder="1" applyAlignment="1">
      <alignment horizontal="center"/>
    </xf>
    <xf numFmtId="0" fontId="12" fillId="0" borderId="8" xfId="5" applyFont="1" applyBorder="1" applyAlignment="1">
      <alignment horizontal="center"/>
    </xf>
    <xf numFmtId="0" fontId="12" fillId="0" borderId="14" xfId="5" applyFont="1" applyBorder="1" applyAlignment="1">
      <alignment horizontal="center"/>
    </xf>
    <xf numFmtId="0" fontId="12" fillId="0" borderId="15" xfId="5" applyFont="1" applyBorder="1" applyAlignment="1">
      <alignment horizontal="center"/>
    </xf>
    <xf numFmtId="0" fontId="12" fillId="0" borderId="5" xfId="5" applyFont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170" fontId="12" fillId="0" borderId="16" xfId="0" applyNumberFormat="1" applyFont="1" applyBorder="1" applyAlignment="1">
      <alignment horizontal="right" vertical="center"/>
    </xf>
    <xf numFmtId="0" fontId="9" fillId="0" borderId="17" xfId="0" applyFont="1" applyBorder="1" applyAlignment="1">
      <alignment horizontal="left" vertical="top"/>
    </xf>
    <xf numFmtId="0" fontId="20" fillId="0" borderId="8" xfId="5" applyFont="1" applyBorder="1"/>
    <xf numFmtId="1" fontId="9" fillId="0" borderId="17" xfId="0" applyNumberFormat="1" applyFont="1" applyBorder="1" applyAlignment="1">
      <alignment horizontal="left"/>
    </xf>
    <xf numFmtId="0" fontId="9" fillId="0" borderId="19" xfId="0" applyFont="1" applyBorder="1" applyAlignment="1">
      <alignment horizontal="center" vertical="top"/>
    </xf>
    <xf numFmtId="0" fontId="9" fillId="0" borderId="19" xfId="0" applyFont="1" applyBorder="1" applyAlignment="1">
      <alignment horizontal="left" vertical="top"/>
    </xf>
    <xf numFmtId="170" fontId="12" fillId="0" borderId="18" xfId="0" applyNumberFormat="1" applyFont="1" applyBorder="1" applyAlignment="1">
      <alignment horizontal="right" vertical="center"/>
    </xf>
    <xf numFmtId="0" fontId="12" fillId="0" borderId="15" xfId="5" applyFont="1" applyBorder="1"/>
    <xf numFmtId="1" fontId="12" fillId="0" borderId="10" xfId="0" applyNumberFormat="1" applyFont="1" applyBorder="1" applyAlignment="1">
      <alignment horizontal="center" vertical="center"/>
    </xf>
    <xf numFmtId="170" fontId="12" fillId="0" borderId="10" xfId="0" applyNumberFormat="1" applyFont="1" applyBorder="1" applyAlignment="1">
      <alignment horizontal="right" vertical="center"/>
    </xf>
    <xf numFmtId="0" fontId="12" fillId="0" borderId="15" xfId="0" applyFont="1" applyBorder="1"/>
    <xf numFmtId="0" fontId="12" fillId="0" borderId="5" xfId="5" applyFont="1" applyBorder="1" applyAlignment="1">
      <alignment vertical="center"/>
    </xf>
    <xf numFmtId="1" fontId="12" fillId="0" borderId="14" xfId="5" applyNumberFormat="1" applyFont="1" applyBorder="1" applyAlignment="1">
      <alignment horizontal="center" vertical="center"/>
    </xf>
    <xf numFmtId="170" fontId="12" fillId="0" borderId="14" xfId="5" applyNumberFormat="1" applyFont="1" applyBorder="1" applyAlignment="1">
      <alignment horizontal="right" vertical="center"/>
    </xf>
    <xf numFmtId="0" fontId="12" fillId="0" borderId="15" xfId="0" applyFont="1" applyBorder="1" applyAlignment="1">
      <alignment horizontal="left"/>
    </xf>
    <xf numFmtId="0" fontId="12" fillId="0" borderId="0" xfId="5" applyFont="1" applyAlignment="1">
      <alignment horizontal="center" vertical="center"/>
    </xf>
    <xf numFmtId="0" fontId="12" fillId="0" borderId="0" xfId="5" applyFont="1" applyAlignment="1">
      <alignment vertical="center"/>
    </xf>
    <xf numFmtId="0" fontId="12" fillId="0" borderId="7" xfId="5" applyFont="1" applyBorder="1" applyAlignment="1">
      <alignment vertical="center"/>
    </xf>
    <xf numFmtId="1" fontId="12" fillId="0" borderId="5" xfId="5" applyNumberFormat="1" applyFont="1" applyBorder="1" applyAlignment="1">
      <alignment horizontal="center" vertical="center"/>
    </xf>
    <xf numFmtId="1" fontId="12" fillId="0" borderId="6" xfId="5" applyNumberFormat="1" applyFont="1" applyBorder="1" applyAlignment="1">
      <alignment horizontal="center" vertical="center"/>
    </xf>
    <xf numFmtId="0" fontId="8" fillId="0" borderId="0" xfId="5" applyFont="1" applyAlignment="1">
      <alignment horizontal="center"/>
    </xf>
    <xf numFmtId="0" fontId="8" fillId="0" borderId="0" xfId="5" applyFont="1" applyAlignment="1">
      <alignment horizontal="left"/>
    </xf>
    <xf numFmtId="0" fontId="8" fillId="0" borderId="8" xfId="5" applyFont="1" applyBorder="1" applyAlignment="1">
      <alignment horizontal="left"/>
    </xf>
    <xf numFmtId="0" fontId="12" fillId="0" borderId="0" xfId="5" applyFont="1"/>
    <xf numFmtId="0" fontId="8" fillId="0" borderId="0" xfId="5" applyFont="1"/>
    <xf numFmtId="0" fontId="8" fillId="0" borderId="9" xfId="5" applyFont="1" applyBorder="1"/>
    <xf numFmtId="0" fontId="12" fillId="0" borderId="18" xfId="0" applyFont="1" applyBorder="1" applyAlignment="1">
      <alignment horizontal="left"/>
    </xf>
    <xf numFmtId="0" fontId="8" fillId="0" borderId="11" xfId="5" applyFont="1" applyBorder="1" applyAlignment="1">
      <alignment horizontal="center"/>
    </xf>
    <xf numFmtId="0" fontId="8" fillId="0" borderId="11" xfId="5" applyFont="1" applyBorder="1" applyAlignment="1">
      <alignment horizontal="left"/>
    </xf>
    <xf numFmtId="0" fontId="12" fillId="0" borderId="10" xfId="5" applyFont="1" applyBorder="1"/>
    <xf numFmtId="0" fontId="12" fillId="0" borderId="11" xfId="5" applyFont="1" applyBorder="1"/>
    <xf numFmtId="0" fontId="8" fillId="0" borderId="7" xfId="5" applyFont="1" applyBorder="1"/>
    <xf numFmtId="170" fontId="8" fillId="0" borderId="18" xfId="0" applyNumberFormat="1" applyFont="1" applyBorder="1" applyAlignment="1">
      <alignment horizontal="right" vertical="center"/>
    </xf>
    <xf numFmtId="0" fontId="15" fillId="0" borderId="8" xfId="5" applyFont="1" applyBorder="1" applyAlignment="1">
      <alignment horizontal="center"/>
    </xf>
    <xf numFmtId="0" fontId="12" fillId="0" borderId="20" xfId="5" applyFont="1" applyBorder="1" applyAlignment="1">
      <alignment horizontal="center" vertical="center"/>
    </xf>
    <xf numFmtId="0" fontId="12" fillId="0" borderId="21" xfId="5" applyFont="1" applyBorder="1" applyAlignment="1">
      <alignment horizontal="center" vertical="center"/>
    </xf>
    <xf numFmtId="0" fontId="12" fillId="0" borderId="21" xfId="5" applyFont="1" applyBorder="1" applyAlignment="1">
      <alignment horizontal="center"/>
    </xf>
    <xf numFmtId="0" fontId="12" fillId="0" borderId="22" xfId="5" applyFont="1" applyBorder="1" applyAlignment="1">
      <alignment horizontal="center"/>
    </xf>
    <xf numFmtId="0" fontId="9" fillId="0" borderId="23" xfId="0" applyFont="1" applyBorder="1" applyAlignment="1">
      <alignment horizontal="center" vertical="top"/>
    </xf>
    <xf numFmtId="0" fontId="9" fillId="0" borderId="23" xfId="0" applyFont="1" applyBorder="1" applyAlignment="1">
      <alignment horizontal="center"/>
    </xf>
    <xf numFmtId="0" fontId="9" fillId="0" borderId="23" xfId="0" applyFont="1" applyBorder="1" applyAlignment="1">
      <alignment horizontal="left" vertical="top"/>
    </xf>
    <xf numFmtId="0" fontId="9" fillId="0" borderId="23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1" fontId="9" fillId="0" borderId="23" xfId="0" applyNumberFormat="1" applyFont="1" applyBorder="1" applyAlignment="1">
      <alignment horizontal="left"/>
    </xf>
    <xf numFmtId="1" fontId="8" fillId="0" borderId="23" xfId="0" applyNumberFormat="1" applyFont="1" applyBorder="1" applyAlignment="1">
      <alignment horizontal="center" vertical="center"/>
    </xf>
    <xf numFmtId="170" fontId="12" fillId="0" borderId="23" xfId="0" applyNumberFormat="1" applyFont="1" applyBorder="1" applyAlignment="1">
      <alignment horizontal="right" vertical="center"/>
    </xf>
    <xf numFmtId="170" fontId="8" fillId="0" borderId="23" xfId="0" applyNumberFormat="1" applyFont="1" applyBorder="1" applyAlignment="1">
      <alignment horizontal="right" vertical="center"/>
    </xf>
    <xf numFmtId="1" fontId="8" fillId="0" borderId="16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3" xfId="0" applyFont="1" applyBorder="1" applyAlignment="1">
      <alignment horizontal="center" vertical="center"/>
    </xf>
    <xf numFmtId="170" fontId="9" fillId="0" borderId="17" xfId="0" applyNumberFormat="1" applyFont="1" applyBorder="1" applyAlignment="1">
      <alignment horizontal="center"/>
    </xf>
    <xf numFmtId="170" fontId="8" fillId="0" borderId="23" xfId="0" applyNumberFormat="1" applyFont="1" applyBorder="1" applyAlignment="1">
      <alignment horizontal="center" vertical="center"/>
    </xf>
    <xf numFmtId="170" fontId="9" fillId="0" borderId="23" xfId="0" applyNumberFormat="1" applyFont="1" applyBorder="1" applyAlignment="1">
      <alignment horizontal="center" vertical="top"/>
    </xf>
    <xf numFmtId="170" fontId="9" fillId="0" borderId="23" xfId="0" applyNumberFormat="1" applyFont="1" applyBorder="1" applyAlignment="1">
      <alignment horizontal="center"/>
    </xf>
    <xf numFmtId="170" fontId="9" fillId="0" borderId="19" xfId="0" applyNumberFormat="1" applyFont="1" applyBorder="1" applyAlignment="1">
      <alignment horizontal="center" vertical="top"/>
    </xf>
    <xf numFmtId="170" fontId="8" fillId="0" borderId="19" xfId="0" applyNumberFormat="1" applyFont="1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70" fontId="12" fillId="0" borderId="17" xfId="0" applyNumberFormat="1" applyFont="1" applyBorder="1" applyAlignment="1">
      <alignment horizontal="right" vertical="center"/>
    </xf>
    <xf numFmtId="0" fontId="8" fillId="0" borderId="17" xfId="0" applyFont="1" applyBorder="1" applyAlignment="1">
      <alignment horizontal="center" vertical="center"/>
    </xf>
    <xf numFmtId="170" fontId="8" fillId="0" borderId="17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right" vertical="center"/>
    </xf>
    <xf numFmtId="0" fontId="12" fillId="0" borderId="3" xfId="5" applyFont="1" applyBorder="1" applyAlignment="1">
      <alignment horizontal="right" vertical="center"/>
    </xf>
    <xf numFmtId="0" fontId="12" fillId="0" borderId="13" xfId="5" applyFont="1" applyBorder="1" applyAlignment="1">
      <alignment horizontal="right" vertical="center"/>
    </xf>
    <xf numFmtId="171" fontId="12" fillId="0" borderId="11" xfId="5" applyNumberFormat="1" applyFont="1" applyBorder="1" applyAlignment="1">
      <alignment horizontal="right"/>
    </xf>
    <xf numFmtId="171" fontId="12" fillId="0" borderId="12" xfId="5" applyNumberFormat="1" applyFont="1" applyBorder="1" applyAlignment="1">
      <alignment horizontal="right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8" xfId="5" applyFont="1" applyBorder="1" applyAlignment="1">
      <alignment horizontal="center"/>
    </xf>
    <xf numFmtId="0" fontId="12" fillId="0" borderId="9" xfId="5" applyFont="1" applyBorder="1" applyAlignment="1">
      <alignment horizontal="center"/>
    </xf>
    <xf numFmtId="0" fontId="12" fillId="0" borderId="0" xfId="5" applyFont="1" applyBorder="1" applyAlignment="1">
      <alignment horizontal="center"/>
    </xf>
    <xf numFmtId="0" fontId="12" fillId="0" borderId="7" xfId="5" applyFont="1" applyBorder="1" applyAlignment="1">
      <alignment horizontal="center"/>
    </xf>
    <xf numFmtId="0" fontId="12" fillId="0" borderId="6" xfId="5" applyFont="1" applyBorder="1" applyAlignment="1">
      <alignment horizontal="center"/>
    </xf>
    <xf numFmtId="0" fontId="19" fillId="0" borderId="7" xfId="5" applyFont="1" applyBorder="1" applyAlignment="1">
      <alignment horizontal="center" vertical="top" wrapText="1"/>
    </xf>
    <xf numFmtId="0" fontId="19" fillId="0" borderId="5" xfId="5" applyFont="1" applyBorder="1" applyAlignment="1">
      <alignment horizontal="center" vertical="top" wrapText="1"/>
    </xf>
    <xf numFmtId="0" fontId="19" fillId="0" borderId="6" xfId="5" applyFont="1" applyBorder="1" applyAlignment="1">
      <alignment horizontal="center" vertical="top" wrapText="1"/>
    </xf>
    <xf numFmtId="0" fontId="19" fillId="0" borderId="10" xfId="5" applyFont="1" applyBorder="1" applyAlignment="1">
      <alignment horizontal="center" vertical="top" wrapText="1"/>
    </xf>
    <xf numFmtId="0" fontId="19" fillId="0" borderId="11" xfId="5" applyFont="1" applyBorder="1" applyAlignment="1">
      <alignment horizontal="center" vertical="top" wrapText="1"/>
    </xf>
    <xf numFmtId="0" fontId="19" fillId="0" borderId="12" xfId="5" applyFont="1" applyBorder="1" applyAlignment="1">
      <alignment horizontal="center" vertical="top" wrapText="1"/>
    </xf>
    <xf numFmtId="0" fontId="5" fillId="0" borderId="3" xfId="5" applyFont="1" applyBorder="1" applyAlignment="1">
      <alignment horizontal="right"/>
    </xf>
    <xf numFmtId="0" fontId="5" fillId="0" borderId="13" xfId="5" applyFont="1" applyBorder="1" applyAlignment="1">
      <alignment horizontal="right"/>
    </xf>
    <xf numFmtId="0" fontId="12" fillId="0" borderId="10" xfId="5" applyFont="1" applyBorder="1" applyAlignment="1">
      <alignment horizontal="center"/>
    </xf>
    <xf numFmtId="0" fontId="12" fillId="0" borderId="12" xfId="5" applyFont="1" applyBorder="1" applyAlignment="1">
      <alignment horizontal="center"/>
    </xf>
    <xf numFmtId="0" fontId="12" fillId="0" borderId="0" xfId="5" applyFont="1" applyAlignment="1">
      <alignment horizontal="center"/>
    </xf>
    <xf numFmtId="0" fontId="12" fillId="0" borderId="5" xfId="5" applyFont="1" applyBorder="1" applyAlignment="1">
      <alignment horizontal="center"/>
    </xf>
    <xf numFmtId="0" fontId="18" fillId="0" borderId="8" xfId="5" applyFont="1" applyBorder="1" applyAlignment="1">
      <alignment horizontal="left"/>
    </xf>
    <xf numFmtId="0" fontId="18" fillId="0" borderId="0" xfId="5" applyFont="1" applyAlignment="1">
      <alignment horizontal="left"/>
    </xf>
    <xf numFmtId="0" fontId="18" fillId="0" borderId="9" xfId="5" applyFont="1" applyBorder="1" applyAlignment="1">
      <alignment horizontal="left"/>
    </xf>
    <xf numFmtId="0" fontId="8" fillId="0" borderId="10" xfId="5" applyFont="1" applyBorder="1" applyAlignment="1">
      <alignment horizontal="center"/>
    </xf>
    <xf numFmtId="0" fontId="8" fillId="0" borderId="12" xfId="5" applyFont="1" applyBorder="1" applyAlignment="1">
      <alignment horizontal="center"/>
    </xf>
    <xf numFmtId="0" fontId="8" fillId="0" borderId="11" xfId="5" applyFont="1" applyBorder="1" applyAlignment="1">
      <alignment horizontal="center"/>
    </xf>
    <xf numFmtId="0" fontId="18" fillId="0" borderId="10" xfId="5" applyFont="1" applyBorder="1" applyAlignment="1">
      <alignment horizontal="left"/>
    </xf>
    <xf numFmtId="0" fontId="18" fillId="0" borderId="11" xfId="5" applyFont="1" applyBorder="1" applyAlignment="1">
      <alignment horizontal="left"/>
    </xf>
    <xf numFmtId="0" fontId="18" fillId="0" borderId="12" xfId="5" applyFont="1" applyBorder="1" applyAlignment="1">
      <alignment horizontal="left"/>
    </xf>
    <xf numFmtId="0" fontId="18" fillId="0" borderId="8" xfId="5" applyFont="1" applyBorder="1" applyAlignment="1">
      <alignment horizontal="left" wrapText="1"/>
    </xf>
    <xf numFmtId="0" fontId="18" fillId="0" borderId="0" xfId="5" applyFont="1" applyAlignment="1">
      <alignment horizontal="left" wrapText="1"/>
    </xf>
    <xf numFmtId="0" fontId="18" fillId="0" borderId="9" xfId="5" applyFont="1" applyBorder="1" applyAlignment="1">
      <alignment horizontal="left" wrapText="1"/>
    </xf>
    <xf numFmtId="0" fontId="18" fillId="0" borderId="8" xfId="5" applyFont="1" applyBorder="1" applyAlignment="1">
      <alignment horizontal="center"/>
    </xf>
    <xf numFmtId="0" fontId="18" fillId="0" borderId="9" xfId="5" applyFont="1" applyBorder="1" applyAlignment="1">
      <alignment horizontal="center"/>
    </xf>
    <xf numFmtId="0" fontId="8" fillId="0" borderId="8" xfId="5" applyFont="1" applyBorder="1" applyAlignment="1">
      <alignment horizontal="center"/>
    </xf>
    <xf numFmtId="0" fontId="8" fillId="0" borderId="9" xfId="5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0" xfId="5" applyFont="1" applyAlignment="1">
      <alignment horizontal="center"/>
    </xf>
    <xf numFmtId="0" fontId="12" fillId="0" borderId="7" xfId="5" applyFont="1" applyBorder="1" applyAlignment="1">
      <alignment horizontal="center" vertical="center"/>
    </xf>
    <xf numFmtId="0" fontId="12" fillId="0" borderId="5" xfId="5" applyFont="1" applyBorder="1" applyAlignment="1">
      <alignment horizontal="center" vertical="center"/>
    </xf>
    <xf numFmtId="0" fontId="12" fillId="0" borderId="6" xfId="5" applyFont="1" applyBorder="1" applyAlignment="1">
      <alignment horizontal="center" vertical="center"/>
    </xf>
    <xf numFmtId="0" fontId="16" fillId="0" borderId="8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9" xfId="0" applyFont="1" applyBorder="1" applyAlignment="1">
      <alignment horizontal="left"/>
    </xf>
    <xf numFmtId="0" fontId="15" fillId="0" borderId="7" xfId="5" applyFont="1" applyBorder="1" applyAlignment="1">
      <alignment horizontal="center"/>
    </xf>
    <xf numFmtId="0" fontId="15" fillId="0" borderId="6" xfId="5" applyFont="1" applyBorder="1" applyAlignment="1">
      <alignment horizontal="center"/>
    </xf>
    <xf numFmtId="0" fontId="15" fillId="0" borderId="5" xfId="5" applyFont="1" applyBorder="1" applyAlignment="1">
      <alignment horizontal="center"/>
    </xf>
    <xf numFmtId="0" fontId="17" fillId="0" borderId="8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9" xfId="0" applyFont="1" applyBorder="1" applyAlignment="1">
      <alignment horizontal="left"/>
    </xf>
    <xf numFmtId="0" fontId="15" fillId="0" borderId="8" xfId="5" applyFont="1" applyBorder="1" applyAlignment="1">
      <alignment horizontal="center"/>
    </xf>
    <xf numFmtId="0" fontId="15" fillId="0" borderId="9" xfId="5" applyFont="1" applyBorder="1" applyAlignment="1">
      <alignment horizontal="center"/>
    </xf>
    <xf numFmtId="0" fontId="15" fillId="0" borderId="0" xfId="5" applyFont="1" applyAlignment="1">
      <alignment horizontal="center"/>
    </xf>
    <xf numFmtId="0" fontId="12" fillId="0" borderId="7" xfId="5" applyFont="1" applyBorder="1" applyAlignment="1">
      <alignment horizontal="left"/>
    </xf>
    <xf numFmtId="0" fontId="12" fillId="0" borderId="5" xfId="5" applyFont="1" applyBorder="1" applyAlignment="1">
      <alignment horizontal="left"/>
    </xf>
    <xf numFmtId="0" fontId="12" fillId="0" borderId="6" xfId="5" applyFont="1" applyBorder="1" applyAlignment="1">
      <alignment horizontal="left"/>
    </xf>
    <xf numFmtId="0" fontId="15" fillId="0" borderId="7" xfId="5" applyFont="1" applyBorder="1" applyAlignment="1">
      <alignment horizontal="left"/>
    </xf>
    <xf numFmtId="0" fontId="15" fillId="0" borderId="5" xfId="5" applyFont="1" applyBorder="1" applyAlignment="1">
      <alignment horizontal="left"/>
    </xf>
    <xf numFmtId="0" fontId="15" fillId="0" borderId="6" xfId="5" applyFont="1" applyBorder="1" applyAlignment="1">
      <alignment horizontal="left"/>
    </xf>
    <xf numFmtId="0" fontId="8" fillId="0" borderId="7" xfId="5" applyFont="1" applyBorder="1" applyAlignment="1">
      <alignment horizontal="left"/>
    </xf>
    <xf numFmtId="0" fontId="8" fillId="0" borderId="5" xfId="5" applyFont="1" applyBorder="1" applyAlignment="1">
      <alignment horizontal="left"/>
    </xf>
    <xf numFmtId="0" fontId="8" fillId="0" borderId="6" xfId="5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9" xfId="0" applyFont="1" applyBorder="1" applyAlignment="1">
      <alignment horizontal="left"/>
    </xf>
    <xf numFmtId="0" fontId="12" fillId="0" borderId="8" xfId="5" applyFont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2" fillId="0" borderId="11" xfId="5" applyFont="1" applyBorder="1" applyAlignment="1">
      <alignment horizontal="center"/>
    </xf>
    <xf numFmtId="171" fontId="12" fillId="0" borderId="10" xfId="5" applyNumberFormat="1" applyFont="1" applyBorder="1" applyAlignment="1">
      <alignment horizontal="center" vertical="center"/>
    </xf>
    <xf numFmtId="171" fontId="12" fillId="0" borderId="12" xfId="5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9" xfId="0" applyFont="1" applyBorder="1" applyAlignment="1">
      <alignment horizontal="left"/>
    </xf>
    <xf numFmtId="171" fontId="12" fillId="0" borderId="8" xfId="5" applyNumberFormat="1" applyFont="1" applyBorder="1" applyAlignment="1">
      <alignment horizontal="center"/>
    </xf>
    <xf numFmtId="171" fontId="12" fillId="0" borderId="0" xfId="5" applyNumberFormat="1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7" xfId="5" applyFont="1" applyBorder="1" applyAlignment="1">
      <alignment horizontal="center" vertical="center"/>
    </xf>
    <xf numFmtId="0" fontId="13" fillId="0" borderId="5" xfId="5" applyFont="1" applyBorder="1" applyAlignment="1">
      <alignment horizontal="center" vertical="center"/>
    </xf>
    <xf numFmtId="0" fontId="11" fillId="0" borderId="3" xfId="5" applyFont="1" applyBorder="1" applyAlignment="1">
      <alignment horizontal="center" vertical="center"/>
    </xf>
    <xf numFmtId="0" fontId="11" fillId="0" borderId="4" xfId="5" applyFont="1" applyBorder="1" applyAlignment="1">
      <alignment horizontal="center" vertical="center"/>
    </xf>
    <xf numFmtId="0" fontId="11" fillId="0" borderId="5" xfId="5" applyFont="1" applyBorder="1" applyAlignment="1">
      <alignment horizontal="center" vertical="center"/>
    </xf>
    <xf numFmtId="0" fontId="11" fillId="0" borderId="6" xfId="5" applyFont="1" applyBorder="1" applyAlignment="1">
      <alignment horizontal="center" vertical="center"/>
    </xf>
    <xf numFmtId="0" fontId="12" fillId="0" borderId="7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3" fillId="0" borderId="7" xfId="5" applyFont="1" applyBorder="1" applyAlignment="1">
      <alignment horizontal="center"/>
    </xf>
    <xf numFmtId="0" fontId="13" fillId="0" borderId="6" xfId="5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2" fontId="7" fillId="0" borderId="1" xfId="1" applyNumberFormat="1" applyFont="1" applyFill="1" applyBorder="1" applyAlignment="1">
      <alignment horizontal="center" vertical="top" wrapText="1"/>
    </xf>
    <xf numFmtId="2" fontId="8" fillId="0" borderId="1" xfId="1" applyNumberFormat="1" applyFont="1" applyFill="1" applyBorder="1" applyAlignment="1">
      <alignment horizontal="center" vertical="top" wrapText="1"/>
    </xf>
    <xf numFmtId="170" fontId="9" fillId="0" borderId="1" xfId="0" applyNumberFormat="1" applyFont="1" applyFill="1" applyBorder="1" applyAlignment="1">
      <alignment horizontal="right" vertical="top"/>
    </xf>
    <xf numFmtId="1" fontId="9" fillId="0" borderId="1" xfId="0" applyNumberFormat="1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right"/>
    </xf>
    <xf numFmtId="0" fontId="0" fillId="0" borderId="1" xfId="0" applyFill="1" applyBorder="1"/>
    <xf numFmtId="0" fontId="7" fillId="0" borderId="2" xfId="0" applyFont="1" applyBorder="1"/>
    <xf numFmtId="0" fontId="0" fillId="0" borderId="0" xfId="0" applyFill="1"/>
    <xf numFmtId="0" fontId="7" fillId="0" borderId="1" xfId="0" applyFont="1" applyBorder="1"/>
    <xf numFmtId="0" fontId="7" fillId="0" borderId="1" xfId="2" applyFont="1" applyBorder="1" applyAlignment="1">
      <alignment horizontal="center" vertical="top"/>
    </xf>
    <xf numFmtId="1" fontId="7" fillId="0" borderId="1" xfId="2" applyNumberFormat="1" applyFont="1" applyBorder="1" applyAlignment="1">
      <alignment horizontal="center" vertical="top"/>
    </xf>
    <xf numFmtId="49" fontId="7" fillId="0" borderId="1" xfId="2" applyNumberFormat="1" applyFont="1" applyBorder="1" applyAlignment="1">
      <alignment horizontal="center" vertical="top"/>
    </xf>
    <xf numFmtId="0" fontId="7" fillId="0" borderId="1" xfId="1" applyNumberFormat="1" applyFont="1" applyFill="1" applyBorder="1" applyAlignment="1">
      <alignment horizontal="center" vertical="top" wrapText="1"/>
    </xf>
    <xf numFmtId="0" fontId="9" fillId="0" borderId="1" xfId="0" applyNumberFormat="1" applyFont="1" applyFill="1" applyBorder="1" applyAlignment="1">
      <alignment horizontal="center" vertical="top"/>
    </xf>
    <xf numFmtId="0" fontId="9" fillId="0" borderId="1" xfId="0" applyNumberFormat="1" applyFont="1" applyBorder="1" applyAlignment="1">
      <alignment horizontal="center" vertical="top"/>
    </xf>
  </cellXfs>
  <cellStyles count="6">
    <cellStyle name="Excel Built-in Normal" xfId="3"/>
    <cellStyle name="Normal" xfId="0" builtinId="0"/>
    <cellStyle name="Normal 6" xfId="4"/>
    <cellStyle name="Normal 83" xfId="5"/>
    <cellStyle name="Normal_Sheet1" xfId="2"/>
    <cellStyle name="Normal_Sheet1_1" xfId="1"/>
  </cellStyles>
  <dxfs count="0"/>
  <tableStyles count="0" defaultTableStyle="TableStyleMedium9" defaultPivotStyle="PivotStyleLight16"/>
  <colors>
    <mruColors>
      <color rgb="FFFF9900"/>
      <color rgb="FFFF9933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L13" sqref="L13"/>
    </sheetView>
  </sheetViews>
  <sheetFormatPr defaultRowHeight="15" x14ac:dyDescent="0.25"/>
  <cols>
    <col min="2" max="2" width="4.28515625" customWidth="1"/>
    <col min="3" max="3" width="29.140625" customWidth="1"/>
    <col min="4" max="4" width="21" customWidth="1"/>
    <col min="5" max="5" width="12.28515625" customWidth="1"/>
    <col min="6" max="6" width="14.28515625" customWidth="1"/>
    <col min="7" max="7" width="6" style="202" customWidth="1"/>
    <col min="8" max="8" width="6.85546875" style="202" customWidth="1"/>
    <col min="9" max="9" width="8.42578125" customWidth="1"/>
    <col min="10" max="10" width="7.140625" customWidth="1"/>
  </cols>
  <sheetData>
    <row r="1" spans="1:10" ht="25.5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195" t="s">
        <v>145</v>
      </c>
      <c r="H1" s="196" t="s">
        <v>47</v>
      </c>
      <c r="I1" s="5" t="s">
        <v>48</v>
      </c>
      <c r="J1" s="5" t="s">
        <v>146</v>
      </c>
    </row>
    <row r="2" spans="1:10" x14ac:dyDescent="0.25">
      <c r="A2" s="2">
        <v>858241</v>
      </c>
      <c r="B2" s="204">
        <v>10</v>
      </c>
      <c r="C2" s="204" t="s">
        <v>8</v>
      </c>
      <c r="D2" s="204" t="s">
        <v>9</v>
      </c>
      <c r="E2" s="205">
        <v>2000130348</v>
      </c>
      <c r="F2" s="206" t="s">
        <v>10</v>
      </c>
      <c r="G2" s="207">
        <v>10</v>
      </c>
      <c r="H2" s="196">
        <v>1.85</v>
      </c>
      <c r="I2" s="5">
        <f>G2*H2</f>
        <v>18.5</v>
      </c>
      <c r="J2" s="6">
        <v>1</v>
      </c>
    </row>
    <row r="3" spans="1:10" x14ac:dyDescent="0.25">
      <c r="A3" s="2">
        <v>858241</v>
      </c>
      <c r="B3" s="204">
        <v>20</v>
      </c>
      <c r="C3" s="204" t="s">
        <v>11</v>
      </c>
      <c r="D3" s="204" t="s">
        <v>9</v>
      </c>
      <c r="E3" s="205">
        <v>2000130340</v>
      </c>
      <c r="F3" s="206" t="s">
        <v>12</v>
      </c>
      <c r="G3" s="207">
        <v>10</v>
      </c>
      <c r="H3" s="196">
        <v>1.6</v>
      </c>
      <c r="I3" s="5">
        <f t="shared" ref="I3:I23" si="0">G3*H3</f>
        <v>16</v>
      </c>
      <c r="J3" s="6">
        <v>1</v>
      </c>
    </row>
    <row r="4" spans="1:10" x14ac:dyDescent="0.25">
      <c r="A4" s="2">
        <v>858241</v>
      </c>
      <c r="B4" s="204">
        <v>70</v>
      </c>
      <c r="C4" s="204" t="s">
        <v>21</v>
      </c>
      <c r="D4" s="204" t="s">
        <v>9</v>
      </c>
      <c r="E4" s="205">
        <v>2000130497</v>
      </c>
      <c r="F4" s="206" t="s">
        <v>22</v>
      </c>
      <c r="G4" s="207">
        <v>5</v>
      </c>
      <c r="H4" s="196">
        <v>7</v>
      </c>
      <c r="I4" s="5">
        <f t="shared" si="0"/>
        <v>35</v>
      </c>
      <c r="J4" s="6">
        <v>1</v>
      </c>
    </row>
    <row r="5" spans="1:10" x14ac:dyDescent="0.25">
      <c r="A5" s="2">
        <v>858241</v>
      </c>
      <c r="B5" s="204">
        <v>130</v>
      </c>
      <c r="C5" s="204" t="s">
        <v>34</v>
      </c>
      <c r="D5" s="204" t="s">
        <v>30</v>
      </c>
      <c r="E5" s="205">
        <v>2000228931</v>
      </c>
      <c r="F5" s="206" t="s">
        <v>35</v>
      </c>
      <c r="G5" s="207">
        <v>7</v>
      </c>
      <c r="H5" s="196">
        <v>4.9000000000000004</v>
      </c>
      <c r="I5" s="5">
        <f t="shared" si="0"/>
        <v>34.300000000000004</v>
      </c>
      <c r="J5" s="6">
        <v>1</v>
      </c>
    </row>
    <row r="6" spans="1:10" x14ac:dyDescent="0.25">
      <c r="A6" s="2">
        <v>858241</v>
      </c>
      <c r="B6" s="204">
        <v>150</v>
      </c>
      <c r="C6" s="204" t="s">
        <v>21</v>
      </c>
      <c r="D6" s="204" t="s">
        <v>30</v>
      </c>
      <c r="E6" s="205">
        <v>2000170436</v>
      </c>
      <c r="F6" s="206" t="s">
        <v>22</v>
      </c>
      <c r="G6" s="207">
        <v>4</v>
      </c>
      <c r="H6" s="196">
        <v>7</v>
      </c>
      <c r="I6" s="5">
        <f t="shared" si="0"/>
        <v>28</v>
      </c>
      <c r="J6" s="6">
        <v>1</v>
      </c>
    </row>
    <row r="7" spans="1:10" x14ac:dyDescent="0.25">
      <c r="A7" s="2">
        <v>858241</v>
      </c>
      <c r="B7" s="204">
        <v>170</v>
      </c>
      <c r="C7" s="204" t="s">
        <v>38</v>
      </c>
      <c r="D7" s="204" t="s">
        <v>30</v>
      </c>
      <c r="E7" s="205">
        <v>2000228940</v>
      </c>
      <c r="F7" s="206" t="s">
        <v>39</v>
      </c>
      <c r="G7" s="207">
        <v>4</v>
      </c>
      <c r="H7" s="196">
        <v>11.5</v>
      </c>
      <c r="I7" s="5">
        <f t="shared" si="0"/>
        <v>46</v>
      </c>
      <c r="J7" s="6">
        <v>1</v>
      </c>
    </row>
    <row r="8" spans="1:10" x14ac:dyDescent="0.25">
      <c r="A8" s="2">
        <v>858241</v>
      </c>
      <c r="B8" s="204">
        <v>60</v>
      </c>
      <c r="C8" s="204" t="s">
        <v>19</v>
      </c>
      <c r="D8" s="204" t="s">
        <v>9</v>
      </c>
      <c r="E8" s="205">
        <v>2000130487</v>
      </c>
      <c r="F8" s="206" t="s">
        <v>20</v>
      </c>
      <c r="G8" s="207">
        <v>5</v>
      </c>
      <c r="H8" s="196">
        <v>11.25</v>
      </c>
      <c r="I8" s="5">
        <f t="shared" si="0"/>
        <v>56.25</v>
      </c>
      <c r="J8" s="6">
        <v>1</v>
      </c>
    </row>
    <row r="9" spans="1:10" x14ac:dyDescent="0.25">
      <c r="A9" s="2">
        <v>858241</v>
      </c>
      <c r="B9" s="204">
        <v>110</v>
      </c>
      <c r="C9" s="204" t="s">
        <v>29</v>
      </c>
      <c r="D9" s="204" t="s">
        <v>30</v>
      </c>
      <c r="E9" s="205">
        <v>2000244064</v>
      </c>
      <c r="F9" s="206" t="s">
        <v>31</v>
      </c>
      <c r="G9" s="207">
        <v>1</v>
      </c>
      <c r="H9" s="196">
        <v>1.5</v>
      </c>
      <c r="I9" s="5">
        <f t="shared" si="0"/>
        <v>1.5</v>
      </c>
      <c r="J9" s="6">
        <v>1</v>
      </c>
    </row>
    <row r="10" spans="1:10" x14ac:dyDescent="0.25">
      <c r="A10" s="2">
        <v>858241</v>
      </c>
      <c r="B10" s="204">
        <v>120</v>
      </c>
      <c r="C10" s="204" t="s">
        <v>32</v>
      </c>
      <c r="D10" s="204" t="s">
        <v>30</v>
      </c>
      <c r="E10" s="205">
        <v>2000228930</v>
      </c>
      <c r="F10" s="206" t="s">
        <v>33</v>
      </c>
      <c r="G10" s="207">
        <v>5</v>
      </c>
      <c r="H10" s="196">
        <v>7.1</v>
      </c>
      <c r="I10" s="5">
        <f t="shared" si="0"/>
        <v>35.5</v>
      </c>
      <c r="J10" s="6">
        <v>1</v>
      </c>
    </row>
    <row r="11" spans="1:10" x14ac:dyDescent="0.25">
      <c r="A11" s="2">
        <v>858241</v>
      </c>
      <c r="B11" s="204">
        <v>140</v>
      </c>
      <c r="C11" s="204" t="s">
        <v>19</v>
      </c>
      <c r="D11" s="204" t="s">
        <v>30</v>
      </c>
      <c r="E11" s="205">
        <v>2000170435</v>
      </c>
      <c r="F11" s="206" t="s">
        <v>20</v>
      </c>
      <c r="G11" s="207">
        <v>5</v>
      </c>
      <c r="H11" s="196">
        <v>11.15</v>
      </c>
      <c r="I11" s="5">
        <f t="shared" si="0"/>
        <v>55.75</v>
      </c>
      <c r="J11" s="6">
        <v>1</v>
      </c>
    </row>
    <row r="12" spans="1:10" x14ac:dyDescent="0.25">
      <c r="A12" s="2">
        <v>858241</v>
      </c>
      <c r="B12" s="204">
        <v>160</v>
      </c>
      <c r="C12" s="204" t="s">
        <v>36</v>
      </c>
      <c r="D12" s="204" t="s">
        <v>30</v>
      </c>
      <c r="E12" s="205">
        <v>2000228939</v>
      </c>
      <c r="F12" s="206" t="s">
        <v>37</v>
      </c>
      <c r="G12" s="207">
        <v>5</v>
      </c>
      <c r="H12" s="196">
        <v>16.5</v>
      </c>
      <c r="I12" s="5">
        <f t="shared" si="0"/>
        <v>82.5</v>
      </c>
      <c r="J12" s="6">
        <v>1</v>
      </c>
    </row>
    <row r="13" spans="1:10" x14ac:dyDescent="0.25">
      <c r="A13" s="2">
        <v>858241</v>
      </c>
      <c r="B13" s="204">
        <v>30</v>
      </c>
      <c r="C13" s="204" t="s">
        <v>13</v>
      </c>
      <c r="D13" s="204" t="s">
        <v>9</v>
      </c>
      <c r="E13" s="205">
        <v>2000130403</v>
      </c>
      <c r="F13" s="206" t="s">
        <v>14</v>
      </c>
      <c r="G13" s="207">
        <v>10</v>
      </c>
      <c r="H13" s="196">
        <v>3.5</v>
      </c>
      <c r="I13" s="5">
        <f t="shared" si="0"/>
        <v>35</v>
      </c>
      <c r="J13" s="6">
        <v>2</v>
      </c>
    </row>
    <row r="14" spans="1:10" x14ac:dyDescent="0.25">
      <c r="A14" s="2">
        <v>858241</v>
      </c>
      <c r="B14" s="204">
        <v>40</v>
      </c>
      <c r="C14" s="204" t="s">
        <v>15</v>
      </c>
      <c r="D14" s="204" t="s">
        <v>9</v>
      </c>
      <c r="E14" s="205">
        <v>2000130437</v>
      </c>
      <c r="F14" s="206" t="s">
        <v>16</v>
      </c>
      <c r="G14" s="207">
        <v>5</v>
      </c>
      <c r="H14" s="196">
        <v>2.4</v>
      </c>
      <c r="I14" s="5">
        <f t="shared" si="0"/>
        <v>12</v>
      </c>
      <c r="J14" s="6">
        <v>2</v>
      </c>
    </row>
    <row r="15" spans="1:10" x14ac:dyDescent="0.25">
      <c r="A15" s="2">
        <v>858241</v>
      </c>
      <c r="B15" s="204">
        <v>50</v>
      </c>
      <c r="C15" s="204" t="s">
        <v>17</v>
      </c>
      <c r="D15" s="204" t="s">
        <v>9</v>
      </c>
      <c r="E15" s="205">
        <v>2000130423</v>
      </c>
      <c r="F15" s="206" t="s">
        <v>18</v>
      </c>
      <c r="G15" s="207">
        <v>10</v>
      </c>
      <c r="H15" s="196">
        <v>3.8</v>
      </c>
      <c r="I15" s="5">
        <f t="shared" si="0"/>
        <v>38</v>
      </c>
      <c r="J15" s="6">
        <v>2</v>
      </c>
    </row>
    <row r="16" spans="1:10" x14ac:dyDescent="0.25">
      <c r="A16" s="2">
        <v>858241</v>
      </c>
      <c r="B16" s="204">
        <v>100</v>
      </c>
      <c r="C16" s="204" t="s">
        <v>27</v>
      </c>
      <c r="D16" s="204" t="s">
        <v>9</v>
      </c>
      <c r="E16" s="205">
        <v>2000130417</v>
      </c>
      <c r="F16" s="206" t="s">
        <v>28</v>
      </c>
      <c r="G16" s="207">
        <v>9</v>
      </c>
      <c r="H16" s="196">
        <v>2.5</v>
      </c>
      <c r="I16" s="5">
        <f t="shared" si="0"/>
        <v>22.5</v>
      </c>
      <c r="J16" s="6">
        <v>2</v>
      </c>
    </row>
    <row r="17" spans="1:10" x14ac:dyDescent="0.25">
      <c r="A17" s="2">
        <v>858241</v>
      </c>
      <c r="B17" s="204">
        <v>190</v>
      </c>
      <c r="C17" s="204" t="s">
        <v>42</v>
      </c>
      <c r="D17" s="204" t="s">
        <v>30</v>
      </c>
      <c r="E17" s="205">
        <v>2000170438</v>
      </c>
      <c r="F17" s="206" t="s">
        <v>43</v>
      </c>
      <c r="G17" s="207">
        <v>4</v>
      </c>
      <c r="H17" s="196">
        <v>16.25</v>
      </c>
      <c r="I17" s="5">
        <f t="shared" si="0"/>
        <v>65</v>
      </c>
      <c r="J17" s="6">
        <v>2</v>
      </c>
    </row>
    <row r="18" spans="1:10" x14ac:dyDescent="0.25">
      <c r="A18" s="2">
        <v>858241</v>
      </c>
      <c r="B18" s="204">
        <v>200</v>
      </c>
      <c r="C18" s="204" t="s">
        <v>27</v>
      </c>
      <c r="D18" s="204" t="s">
        <v>30</v>
      </c>
      <c r="E18" s="205">
        <v>2000170434</v>
      </c>
      <c r="F18" s="206" t="s">
        <v>28</v>
      </c>
      <c r="G18" s="207">
        <v>2</v>
      </c>
      <c r="H18" s="196">
        <v>2.5</v>
      </c>
      <c r="I18" s="5">
        <f t="shared" si="0"/>
        <v>5</v>
      </c>
      <c r="J18" s="6">
        <v>2</v>
      </c>
    </row>
    <row r="19" spans="1:10" x14ac:dyDescent="0.25">
      <c r="A19" s="2">
        <v>858241</v>
      </c>
      <c r="B19" s="204">
        <v>220</v>
      </c>
      <c r="C19" s="204" t="s">
        <v>45</v>
      </c>
      <c r="D19" s="204" t="s">
        <v>30</v>
      </c>
      <c r="E19" s="205">
        <v>2000068643</v>
      </c>
      <c r="F19" s="206" t="s">
        <v>46</v>
      </c>
      <c r="G19" s="207">
        <v>4</v>
      </c>
      <c r="H19" s="196">
        <v>12.2</v>
      </c>
      <c r="I19" s="5">
        <f t="shared" si="0"/>
        <v>48.8</v>
      </c>
      <c r="J19" s="6">
        <v>2</v>
      </c>
    </row>
    <row r="20" spans="1:10" x14ac:dyDescent="0.25">
      <c r="A20" s="7">
        <v>858241</v>
      </c>
      <c r="B20" s="7">
        <v>90</v>
      </c>
      <c r="C20" s="8" t="s">
        <v>25</v>
      </c>
      <c r="D20" s="8" t="s">
        <v>9</v>
      </c>
      <c r="E20" s="8">
        <v>2000130617</v>
      </c>
      <c r="F20" s="8" t="s">
        <v>26</v>
      </c>
      <c r="G20" s="208">
        <v>10</v>
      </c>
      <c r="H20" s="197">
        <v>23.67</v>
      </c>
      <c r="I20" s="5">
        <f t="shared" si="0"/>
        <v>236.70000000000002</v>
      </c>
      <c r="J20" s="209">
        <v>2</v>
      </c>
    </row>
    <row r="21" spans="1:10" x14ac:dyDescent="0.25">
      <c r="A21" s="7">
        <v>858241</v>
      </c>
      <c r="B21" s="7">
        <v>210</v>
      </c>
      <c r="C21" s="8" t="s">
        <v>44</v>
      </c>
      <c r="D21" s="8" t="s">
        <v>30</v>
      </c>
      <c r="E21" s="8">
        <v>2000232783</v>
      </c>
      <c r="F21" s="8">
        <v>3004654</v>
      </c>
      <c r="G21" s="208">
        <v>2</v>
      </c>
      <c r="H21" s="197">
        <v>8.5</v>
      </c>
      <c r="I21" s="5">
        <f t="shared" si="0"/>
        <v>17</v>
      </c>
      <c r="J21" s="209">
        <v>2</v>
      </c>
    </row>
    <row r="22" spans="1:10" x14ac:dyDescent="0.25">
      <c r="A22" s="7">
        <v>858241</v>
      </c>
      <c r="B22" s="7">
        <v>80</v>
      </c>
      <c r="C22" s="8" t="s">
        <v>23</v>
      </c>
      <c r="D22" s="8" t="s">
        <v>9</v>
      </c>
      <c r="E22" s="8">
        <v>2000130602</v>
      </c>
      <c r="F22" s="8" t="s">
        <v>24</v>
      </c>
      <c r="G22" s="208">
        <v>10</v>
      </c>
      <c r="H22" s="197">
        <v>43.8</v>
      </c>
      <c r="I22" s="5">
        <f t="shared" si="0"/>
        <v>438</v>
      </c>
      <c r="J22" s="209">
        <v>3</v>
      </c>
    </row>
    <row r="23" spans="1:10" x14ac:dyDescent="0.25">
      <c r="A23" s="7">
        <v>858241</v>
      </c>
      <c r="B23" s="7">
        <v>180</v>
      </c>
      <c r="C23" s="8" t="s">
        <v>40</v>
      </c>
      <c r="D23" s="8" t="s">
        <v>30</v>
      </c>
      <c r="E23" s="8">
        <v>2000228947</v>
      </c>
      <c r="F23" s="8" t="s">
        <v>41</v>
      </c>
      <c r="G23" s="208">
        <v>2</v>
      </c>
      <c r="H23" s="197">
        <v>28.85</v>
      </c>
      <c r="I23" s="5">
        <f t="shared" si="0"/>
        <v>57.7</v>
      </c>
      <c r="J23" s="209">
        <v>3</v>
      </c>
    </row>
    <row r="24" spans="1:10" x14ac:dyDescent="0.25">
      <c r="A24" s="7"/>
      <c r="B24" s="7"/>
      <c r="C24" s="7"/>
      <c r="D24" s="7"/>
      <c r="E24" s="7"/>
      <c r="F24" s="7"/>
      <c r="G24" s="198">
        <f>SUM(G2:G23)</f>
        <v>129</v>
      </c>
      <c r="H24" s="199" t="s">
        <v>147</v>
      </c>
      <c r="I24" s="9">
        <f>SUM(I2:I23)</f>
        <v>1385</v>
      </c>
      <c r="J24" s="7"/>
    </row>
    <row r="25" spans="1:10" x14ac:dyDescent="0.25">
      <c r="A25" s="1"/>
      <c r="B25" s="1"/>
      <c r="C25" s="1"/>
      <c r="D25" s="1"/>
      <c r="E25" s="1"/>
      <c r="F25" s="1"/>
      <c r="G25" s="200"/>
      <c r="H25" s="199" t="s">
        <v>49</v>
      </c>
      <c r="I25" s="10">
        <v>70</v>
      </c>
      <c r="J25" s="1"/>
    </row>
    <row r="26" spans="1:10" x14ac:dyDescent="0.25">
      <c r="A26" s="1"/>
      <c r="B26" s="1"/>
      <c r="C26" s="1"/>
      <c r="D26" s="1"/>
      <c r="E26" s="1"/>
      <c r="F26" s="1"/>
      <c r="G26" s="200"/>
      <c r="H26" s="199" t="s">
        <v>148</v>
      </c>
      <c r="I26" s="10">
        <f>SUM(I24:I25)</f>
        <v>1455</v>
      </c>
      <c r="J26" s="1"/>
    </row>
    <row r="27" spans="1:10" x14ac:dyDescent="0.25">
      <c r="C27" s="201" t="s">
        <v>51</v>
      </c>
    </row>
    <row r="28" spans="1:10" x14ac:dyDescent="0.25">
      <c r="C28" s="203" t="s">
        <v>52</v>
      </c>
    </row>
    <row r="29" spans="1:10" x14ac:dyDescent="0.25">
      <c r="C29" s="203" t="s">
        <v>53</v>
      </c>
    </row>
    <row r="30" spans="1:10" x14ac:dyDescent="0.25">
      <c r="C30" s="203" t="s">
        <v>54</v>
      </c>
    </row>
    <row r="31" spans="1:10" x14ac:dyDescent="0.25">
      <c r="C31" s="20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topLeftCell="A46" workbookViewId="0">
      <selection activeCell="L58" sqref="L58"/>
    </sheetView>
  </sheetViews>
  <sheetFormatPr defaultRowHeight="15" x14ac:dyDescent="0.25"/>
  <cols>
    <col min="1" max="1" width="19.28515625" customWidth="1"/>
    <col min="3" max="3" width="6.28515625" customWidth="1"/>
    <col min="4" max="4" width="17.85546875" customWidth="1"/>
    <col min="5" max="5" width="13" customWidth="1"/>
    <col min="6" max="6" width="10.7109375" customWidth="1"/>
    <col min="8" max="8" width="5.7109375" customWidth="1"/>
    <col min="9" max="10" width="8.42578125" bestFit="1" customWidth="1"/>
  </cols>
  <sheetData>
    <row r="1" spans="1:10" ht="24" thickBot="1" x14ac:dyDescent="0.3">
      <c r="A1" s="180" t="s">
        <v>55</v>
      </c>
      <c r="B1" s="181"/>
      <c r="C1" s="181"/>
      <c r="D1" s="181"/>
      <c r="E1" s="181"/>
      <c r="F1" s="181"/>
      <c r="G1" s="181"/>
      <c r="H1" s="182"/>
      <c r="I1" s="182"/>
      <c r="J1" s="183"/>
    </row>
    <row r="2" spans="1:10" x14ac:dyDescent="0.25">
      <c r="A2" s="184" t="s">
        <v>56</v>
      </c>
      <c r="B2" s="185"/>
      <c r="C2" s="185"/>
      <c r="D2" s="185"/>
      <c r="E2" s="186"/>
      <c r="F2" s="187" t="s">
        <v>57</v>
      </c>
      <c r="G2" s="188"/>
      <c r="H2" s="189" t="s">
        <v>58</v>
      </c>
      <c r="I2" s="190"/>
      <c r="J2" s="191"/>
    </row>
    <row r="3" spans="1:10" x14ac:dyDescent="0.25">
      <c r="A3" s="192" t="s">
        <v>59</v>
      </c>
      <c r="B3" s="193"/>
      <c r="C3" s="193"/>
      <c r="D3" s="193"/>
      <c r="E3" s="194"/>
      <c r="F3" s="96">
        <v>26050</v>
      </c>
      <c r="G3" s="111"/>
      <c r="H3" s="175">
        <v>3112025822</v>
      </c>
      <c r="I3" s="176"/>
      <c r="J3" s="177"/>
    </row>
    <row r="4" spans="1:10" ht="15.75" thickBot="1" x14ac:dyDescent="0.3">
      <c r="A4" s="170" t="s">
        <v>60</v>
      </c>
      <c r="B4" s="171"/>
      <c r="C4" s="171"/>
      <c r="D4" s="171"/>
      <c r="E4" s="172"/>
      <c r="F4" s="173">
        <v>46155</v>
      </c>
      <c r="G4" s="174"/>
      <c r="H4" s="175" t="s">
        <v>61</v>
      </c>
      <c r="I4" s="176"/>
      <c r="J4" s="177"/>
    </row>
    <row r="5" spans="1:10" x14ac:dyDescent="0.25">
      <c r="A5" s="157" t="s">
        <v>62</v>
      </c>
      <c r="B5" s="158"/>
      <c r="C5" s="158"/>
      <c r="D5" s="158"/>
      <c r="E5" s="159"/>
      <c r="F5" s="178" t="s">
        <v>63</v>
      </c>
      <c r="G5" s="179"/>
      <c r="H5" s="99" t="s">
        <v>64</v>
      </c>
      <c r="I5" s="112"/>
      <c r="J5" s="100"/>
    </row>
    <row r="6" spans="1:10" ht="15.75" thickBot="1" x14ac:dyDescent="0.3">
      <c r="A6" s="157" t="s">
        <v>65</v>
      </c>
      <c r="B6" s="158"/>
      <c r="C6" s="158"/>
      <c r="D6" s="158"/>
      <c r="E6" s="159"/>
      <c r="F6" s="160">
        <f>F3</f>
        <v>26050</v>
      </c>
      <c r="G6" s="161"/>
      <c r="H6" s="109" t="s">
        <v>66</v>
      </c>
      <c r="I6" s="162"/>
      <c r="J6" s="110"/>
    </row>
    <row r="7" spans="1:10" ht="15.75" thickBot="1" x14ac:dyDescent="0.3">
      <c r="A7" s="157"/>
      <c r="B7" s="158"/>
      <c r="C7" s="158"/>
      <c r="D7" s="158"/>
      <c r="E7" s="159"/>
      <c r="F7" s="163">
        <f>F4</f>
        <v>46155</v>
      </c>
      <c r="G7" s="164"/>
      <c r="H7" s="109" t="s">
        <v>67</v>
      </c>
      <c r="I7" s="162"/>
      <c r="J7" s="110"/>
    </row>
    <row r="8" spans="1:10" ht="15.75" thickBot="1" x14ac:dyDescent="0.3">
      <c r="A8" s="157" t="s">
        <v>68</v>
      </c>
      <c r="B8" s="158"/>
      <c r="C8" s="158"/>
      <c r="D8" s="158"/>
      <c r="E8" s="159"/>
      <c r="F8" s="148" t="s">
        <v>69</v>
      </c>
      <c r="G8" s="149"/>
      <c r="H8" s="149"/>
      <c r="I8" s="149"/>
      <c r="J8" s="150"/>
    </row>
    <row r="9" spans="1:10" ht="15.75" thickBot="1" x14ac:dyDescent="0.3">
      <c r="A9" s="165" t="s">
        <v>70</v>
      </c>
      <c r="B9" s="166"/>
      <c r="C9" s="167"/>
      <c r="D9" s="168">
        <v>80484</v>
      </c>
      <c r="E9" s="169"/>
      <c r="F9" s="116" t="s">
        <v>71</v>
      </c>
      <c r="G9" s="118"/>
      <c r="H9" s="118"/>
      <c r="I9" s="118"/>
      <c r="J9" s="117"/>
    </row>
    <row r="10" spans="1:10" x14ac:dyDescent="0.25">
      <c r="A10" s="151" t="s">
        <v>72</v>
      </c>
      <c r="B10" s="152"/>
      <c r="C10" s="152"/>
      <c r="D10" s="152"/>
      <c r="E10" s="153"/>
      <c r="F10" s="154" t="s">
        <v>73</v>
      </c>
      <c r="G10" s="155"/>
      <c r="H10" s="155"/>
      <c r="I10" s="155"/>
      <c r="J10" s="156"/>
    </row>
    <row r="11" spans="1:10" ht="16.5" thickBot="1" x14ac:dyDescent="0.3">
      <c r="A11" s="136" t="s">
        <v>74</v>
      </c>
      <c r="B11" s="137"/>
      <c r="C11" s="137"/>
      <c r="D11" s="137"/>
      <c r="E11" s="138"/>
      <c r="F11" s="116" t="s">
        <v>71</v>
      </c>
      <c r="G11" s="118"/>
      <c r="H11" s="118"/>
      <c r="I11" s="118"/>
      <c r="J11" s="117"/>
    </row>
    <row r="12" spans="1:10" ht="15.75" x14ac:dyDescent="0.25">
      <c r="A12" s="142" t="s">
        <v>75</v>
      </c>
      <c r="B12" s="143"/>
      <c r="C12" s="143"/>
      <c r="D12" s="143"/>
      <c r="E12" s="144"/>
      <c r="F12" s="148" t="s">
        <v>76</v>
      </c>
      <c r="G12" s="149"/>
      <c r="H12" s="149"/>
      <c r="I12" s="149"/>
      <c r="J12" s="150"/>
    </row>
    <row r="13" spans="1:10" ht="16.5" thickBot="1" x14ac:dyDescent="0.3">
      <c r="A13" s="142" t="s">
        <v>77</v>
      </c>
      <c r="B13" s="143"/>
      <c r="C13" s="143"/>
      <c r="D13" s="143"/>
      <c r="E13" s="144"/>
      <c r="F13" s="116"/>
      <c r="G13" s="118"/>
      <c r="H13" s="118"/>
      <c r="I13" s="118"/>
      <c r="J13" s="117"/>
    </row>
    <row r="14" spans="1:10" ht="15.75" x14ac:dyDescent="0.25">
      <c r="A14" s="136" t="s">
        <v>78</v>
      </c>
      <c r="B14" s="137"/>
      <c r="C14" s="137"/>
      <c r="D14" s="137"/>
      <c r="E14" s="138"/>
      <c r="F14" s="139" t="s">
        <v>79</v>
      </c>
      <c r="G14" s="140"/>
      <c r="H14" s="139" t="s">
        <v>80</v>
      </c>
      <c r="I14" s="141"/>
      <c r="J14" s="140"/>
    </row>
    <row r="15" spans="1:10" ht="15.75" x14ac:dyDescent="0.25">
      <c r="A15" s="142" t="s">
        <v>81</v>
      </c>
      <c r="B15" s="143"/>
      <c r="C15" s="143"/>
      <c r="D15" s="143"/>
      <c r="E15" s="144"/>
      <c r="F15" s="145" t="s">
        <v>82</v>
      </c>
      <c r="G15" s="146"/>
      <c r="H15" s="145" t="s">
        <v>83</v>
      </c>
      <c r="I15" s="147"/>
      <c r="J15" s="146"/>
    </row>
    <row r="16" spans="1:10" ht="15.75" thickBot="1" x14ac:dyDescent="0.3">
      <c r="A16" s="129" t="s">
        <v>84</v>
      </c>
      <c r="B16" s="130"/>
      <c r="C16" s="130"/>
      <c r="D16" s="130"/>
      <c r="E16" s="131"/>
      <c r="F16" s="127" t="s">
        <v>85</v>
      </c>
      <c r="G16" s="128"/>
      <c r="H16" s="127" t="s">
        <v>78</v>
      </c>
      <c r="I16" s="132"/>
      <c r="J16" s="128"/>
    </row>
    <row r="17" spans="1:10" x14ac:dyDescent="0.25">
      <c r="A17" s="96" t="s">
        <v>86</v>
      </c>
      <c r="B17" s="97"/>
      <c r="C17" s="99" t="s">
        <v>87</v>
      </c>
      <c r="D17" s="112"/>
      <c r="E17" s="112"/>
      <c r="F17" s="133" t="s">
        <v>88</v>
      </c>
      <c r="G17" s="134"/>
      <c r="H17" s="134"/>
      <c r="I17" s="134"/>
      <c r="J17" s="135"/>
    </row>
    <row r="18" spans="1:10" x14ac:dyDescent="0.25">
      <c r="A18" s="125"/>
      <c r="B18" s="126"/>
      <c r="C18" s="96" t="s">
        <v>89</v>
      </c>
      <c r="D18" s="111"/>
      <c r="E18" s="111"/>
      <c r="F18" s="113" t="s">
        <v>90</v>
      </c>
      <c r="G18" s="114"/>
      <c r="H18" s="114"/>
      <c r="I18" s="114"/>
      <c r="J18" s="115"/>
    </row>
    <row r="19" spans="1:10" ht="15.75" thickBot="1" x14ac:dyDescent="0.3">
      <c r="A19" s="127" t="s">
        <v>91</v>
      </c>
      <c r="B19" s="128"/>
      <c r="C19" s="116" t="s">
        <v>92</v>
      </c>
      <c r="D19" s="118"/>
      <c r="E19" s="118"/>
      <c r="F19" s="113" t="s">
        <v>93</v>
      </c>
      <c r="G19" s="114"/>
      <c r="H19" s="114"/>
      <c r="I19" s="114"/>
      <c r="J19" s="115"/>
    </row>
    <row r="20" spans="1:10" x14ac:dyDescent="0.25">
      <c r="A20" s="99" t="s">
        <v>94</v>
      </c>
      <c r="B20" s="100"/>
      <c r="C20" s="99" t="s">
        <v>95</v>
      </c>
      <c r="D20" s="112"/>
      <c r="E20" s="112"/>
      <c r="F20" s="113" t="s">
        <v>96</v>
      </c>
      <c r="G20" s="114"/>
      <c r="H20" s="114"/>
      <c r="I20" s="114"/>
      <c r="J20" s="115"/>
    </row>
    <row r="21" spans="1:10" ht="15.75" thickBot="1" x14ac:dyDescent="0.3">
      <c r="A21" s="116" t="s">
        <v>7</v>
      </c>
      <c r="B21" s="117"/>
      <c r="C21" s="116" t="s">
        <v>97</v>
      </c>
      <c r="D21" s="118"/>
      <c r="E21" s="118"/>
      <c r="F21" s="122" t="s">
        <v>98</v>
      </c>
      <c r="G21" s="123"/>
      <c r="H21" s="123"/>
      <c r="I21" s="123"/>
      <c r="J21" s="124"/>
    </row>
    <row r="22" spans="1:10" x14ac:dyDescent="0.25">
      <c r="A22" s="96" t="s">
        <v>99</v>
      </c>
      <c r="B22" s="97"/>
      <c r="C22" s="99" t="s">
        <v>100</v>
      </c>
      <c r="D22" s="112"/>
      <c r="E22" s="112"/>
      <c r="F22" s="113" t="s">
        <v>101</v>
      </c>
      <c r="G22" s="114"/>
      <c r="H22" s="114"/>
      <c r="I22" s="114"/>
      <c r="J22" s="115"/>
    </row>
    <row r="23" spans="1:10" ht="15.75" thickBot="1" x14ac:dyDescent="0.3">
      <c r="A23" s="116" t="s">
        <v>102</v>
      </c>
      <c r="B23" s="117"/>
      <c r="C23" s="116" t="s">
        <v>78</v>
      </c>
      <c r="D23" s="118"/>
      <c r="E23" s="117"/>
      <c r="F23" s="119" t="s">
        <v>103</v>
      </c>
      <c r="G23" s="120"/>
      <c r="H23" s="120"/>
      <c r="I23" s="120"/>
      <c r="J23" s="121"/>
    </row>
    <row r="24" spans="1:10" ht="15.75" thickBot="1" x14ac:dyDescent="0.3">
      <c r="A24" s="11" t="s">
        <v>104</v>
      </c>
      <c r="B24" s="99" t="s">
        <v>105</v>
      </c>
      <c r="C24" s="100"/>
      <c r="D24" s="101" t="s">
        <v>106</v>
      </c>
      <c r="E24" s="102"/>
      <c r="F24" s="102"/>
      <c r="G24" s="102"/>
      <c r="H24" s="103"/>
      <c r="I24" s="107" t="s">
        <v>107</v>
      </c>
      <c r="J24" s="108"/>
    </row>
    <row r="25" spans="1:10" ht="15.75" thickBot="1" x14ac:dyDescent="0.3">
      <c r="A25" s="12" t="s">
        <v>108</v>
      </c>
      <c r="B25" s="109" t="s">
        <v>109</v>
      </c>
      <c r="C25" s="110"/>
      <c r="D25" s="104"/>
      <c r="E25" s="105"/>
      <c r="F25" s="105"/>
      <c r="G25" s="105"/>
      <c r="H25" s="106"/>
      <c r="I25" s="111" t="s">
        <v>110</v>
      </c>
      <c r="J25" s="97"/>
    </row>
    <row r="26" spans="1:10" x14ac:dyDescent="0.25">
      <c r="A26" s="12" t="s">
        <v>111</v>
      </c>
      <c r="B26" s="99" t="s">
        <v>112</v>
      </c>
      <c r="C26" s="100"/>
      <c r="D26" s="99" t="s">
        <v>113</v>
      </c>
      <c r="E26" s="100"/>
      <c r="F26" s="99" t="s">
        <v>114</v>
      </c>
      <c r="G26" s="112"/>
      <c r="H26" s="100"/>
      <c r="I26" s="11" t="s">
        <v>115</v>
      </c>
      <c r="J26" s="13" t="s">
        <v>116</v>
      </c>
    </row>
    <row r="27" spans="1:10" ht="15.75" thickBot="1" x14ac:dyDescent="0.3">
      <c r="A27" s="12"/>
      <c r="B27" s="96" t="s">
        <v>117</v>
      </c>
      <c r="C27" s="97"/>
      <c r="D27" s="96" t="s">
        <v>118</v>
      </c>
      <c r="E27" s="97"/>
      <c r="F27" s="96" t="s">
        <v>119</v>
      </c>
      <c r="G27" s="98"/>
      <c r="H27" s="97"/>
      <c r="I27" s="12" t="s">
        <v>120</v>
      </c>
      <c r="J27" s="14" t="s">
        <v>120</v>
      </c>
    </row>
    <row r="28" spans="1:10" ht="15.75" thickBot="1" x14ac:dyDescent="0.3">
      <c r="A28" s="51"/>
      <c r="B28" s="52" t="s">
        <v>121</v>
      </c>
      <c r="C28" s="53" t="s">
        <v>122</v>
      </c>
      <c r="D28" s="53" t="s">
        <v>123</v>
      </c>
      <c r="E28" s="53" t="s">
        <v>3</v>
      </c>
      <c r="F28" s="53" t="s">
        <v>124</v>
      </c>
      <c r="G28" s="53" t="s">
        <v>125</v>
      </c>
      <c r="H28" s="53" t="s">
        <v>6</v>
      </c>
      <c r="I28" s="54" t="s">
        <v>126</v>
      </c>
      <c r="J28" s="55" t="s">
        <v>126</v>
      </c>
    </row>
    <row r="29" spans="1:10" x14ac:dyDescent="0.25">
      <c r="A29" s="49" t="s">
        <v>127</v>
      </c>
      <c r="B29" s="16">
        <v>858241</v>
      </c>
      <c r="C29" s="16">
        <v>10</v>
      </c>
      <c r="D29" s="19" t="s">
        <v>8</v>
      </c>
      <c r="E29" s="17" t="s">
        <v>9</v>
      </c>
      <c r="F29" s="21">
        <v>2000130348</v>
      </c>
      <c r="G29" s="17" t="s">
        <v>10</v>
      </c>
      <c r="H29" s="16">
        <v>10</v>
      </c>
      <c r="I29" s="68">
        <v>18.5</v>
      </c>
      <c r="J29" s="16"/>
    </row>
    <row r="30" spans="1:10" x14ac:dyDescent="0.25">
      <c r="A30" s="20" t="s">
        <v>128</v>
      </c>
      <c r="B30" s="67">
        <v>858241</v>
      </c>
      <c r="C30" s="67">
        <v>20</v>
      </c>
      <c r="D30" s="66" t="s">
        <v>11</v>
      </c>
      <c r="E30" s="66" t="s">
        <v>9</v>
      </c>
      <c r="F30" s="66">
        <v>2000130340</v>
      </c>
      <c r="G30" s="66" t="s">
        <v>12</v>
      </c>
      <c r="H30" s="62">
        <v>10</v>
      </c>
      <c r="I30" s="69">
        <v>16</v>
      </c>
      <c r="J30" s="69"/>
    </row>
    <row r="31" spans="1:10" x14ac:dyDescent="0.25">
      <c r="A31" s="20" t="s">
        <v>130</v>
      </c>
      <c r="B31" s="56">
        <v>858241</v>
      </c>
      <c r="C31" s="56">
        <v>70</v>
      </c>
      <c r="D31" s="58" t="s">
        <v>21</v>
      </c>
      <c r="E31" s="59" t="s">
        <v>9</v>
      </c>
      <c r="F31" s="58">
        <v>2000130497</v>
      </c>
      <c r="G31" s="58" t="s">
        <v>22</v>
      </c>
      <c r="H31" s="56">
        <v>5</v>
      </c>
      <c r="I31" s="70">
        <v>35</v>
      </c>
      <c r="J31" s="69"/>
    </row>
    <row r="32" spans="1:10" x14ac:dyDescent="0.25">
      <c r="A32" s="20" t="s">
        <v>75</v>
      </c>
      <c r="B32" s="56">
        <v>858241</v>
      </c>
      <c r="C32" s="56">
        <v>130</v>
      </c>
      <c r="D32" s="58" t="s">
        <v>34</v>
      </c>
      <c r="E32" s="59" t="s">
        <v>30</v>
      </c>
      <c r="F32" s="58">
        <v>2000228931</v>
      </c>
      <c r="G32" s="58" t="s">
        <v>35</v>
      </c>
      <c r="H32" s="56">
        <v>7</v>
      </c>
      <c r="I32" s="70">
        <v>34.300000000000004</v>
      </c>
      <c r="J32" s="69"/>
    </row>
    <row r="33" spans="1:10" x14ac:dyDescent="0.25">
      <c r="A33" s="20" t="s">
        <v>131</v>
      </c>
      <c r="B33" s="67">
        <v>858241</v>
      </c>
      <c r="C33" s="67">
        <v>150</v>
      </c>
      <c r="D33" s="66" t="s">
        <v>21</v>
      </c>
      <c r="E33" s="66" t="s">
        <v>30</v>
      </c>
      <c r="F33" s="66">
        <v>2000170436</v>
      </c>
      <c r="G33" s="66" t="s">
        <v>22</v>
      </c>
      <c r="H33" s="62">
        <v>4</v>
      </c>
      <c r="I33" s="69">
        <v>28</v>
      </c>
      <c r="J33" s="69"/>
    </row>
    <row r="34" spans="1:10" x14ac:dyDescent="0.25">
      <c r="A34" s="20" t="s">
        <v>78</v>
      </c>
      <c r="B34" s="57">
        <v>858241</v>
      </c>
      <c r="C34" s="57">
        <v>170</v>
      </c>
      <c r="D34" s="58" t="s">
        <v>38</v>
      </c>
      <c r="E34" s="59" t="s">
        <v>30</v>
      </c>
      <c r="F34" s="61">
        <v>2000228940</v>
      </c>
      <c r="G34" s="59" t="s">
        <v>39</v>
      </c>
      <c r="H34" s="57">
        <v>4</v>
      </c>
      <c r="I34" s="71">
        <v>46</v>
      </c>
      <c r="J34" s="69"/>
    </row>
    <row r="35" spans="1:10" x14ac:dyDescent="0.25">
      <c r="A35" s="20"/>
      <c r="B35" s="67">
        <v>858241</v>
      </c>
      <c r="C35" s="67">
        <v>60</v>
      </c>
      <c r="D35" s="66" t="s">
        <v>19</v>
      </c>
      <c r="E35" s="66" t="s">
        <v>9</v>
      </c>
      <c r="F35" s="66">
        <v>2000130487</v>
      </c>
      <c r="G35" s="66" t="s">
        <v>20</v>
      </c>
      <c r="H35" s="62">
        <v>5</v>
      </c>
      <c r="I35" s="69">
        <v>56.25</v>
      </c>
      <c r="J35" s="69"/>
    </row>
    <row r="36" spans="1:10" x14ac:dyDescent="0.25">
      <c r="A36" s="20"/>
      <c r="B36" s="56">
        <v>858241</v>
      </c>
      <c r="C36" s="56">
        <v>110</v>
      </c>
      <c r="D36" s="58" t="s">
        <v>29</v>
      </c>
      <c r="E36" s="59" t="s">
        <v>30</v>
      </c>
      <c r="F36" s="58">
        <v>2000244064</v>
      </c>
      <c r="G36" s="58" t="s">
        <v>31</v>
      </c>
      <c r="H36" s="56">
        <v>1</v>
      </c>
      <c r="I36" s="70">
        <v>1.5</v>
      </c>
      <c r="J36" s="69"/>
    </row>
    <row r="37" spans="1:10" x14ac:dyDescent="0.25">
      <c r="A37" s="20"/>
      <c r="B37" s="56">
        <v>858241</v>
      </c>
      <c r="C37" s="56">
        <v>120</v>
      </c>
      <c r="D37" s="58" t="s">
        <v>32</v>
      </c>
      <c r="E37" s="59" t="s">
        <v>30</v>
      </c>
      <c r="F37" s="58">
        <v>2000228930</v>
      </c>
      <c r="G37" s="58" t="s">
        <v>33</v>
      </c>
      <c r="H37" s="56">
        <v>5</v>
      </c>
      <c r="I37" s="70">
        <v>35.5</v>
      </c>
      <c r="J37" s="69"/>
    </row>
    <row r="38" spans="1:10" x14ac:dyDescent="0.25">
      <c r="A38" s="20"/>
      <c r="B38" s="56">
        <v>858241</v>
      </c>
      <c r="C38" s="56">
        <v>140</v>
      </c>
      <c r="D38" s="58" t="s">
        <v>19</v>
      </c>
      <c r="E38" s="59" t="s">
        <v>30</v>
      </c>
      <c r="F38" s="58">
        <v>2000170435</v>
      </c>
      <c r="G38" s="58" t="s">
        <v>20</v>
      </c>
      <c r="H38" s="56">
        <v>5</v>
      </c>
      <c r="I38" s="70">
        <v>55.75</v>
      </c>
      <c r="J38" s="69"/>
    </row>
    <row r="39" spans="1:10" ht="15.75" thickBot="1" x14ac:dyDescent="0.3">
      <c r="A39" s="20"/>
      <c r="B39" s="22">
        <v>858241</v>
      </c>
      <c r="C39" s="22">
        <v>160</v>
      </c>
      <c r="D39" s="23" t="s">
        <v>36</v>
      </c>
      <c r="E39" s="60" t="s">
        <v>30</v>
      </c>
      <c r="F39" s="23">
        <v>2000228939</v>
      </c>
      <c r="G39" s="23" t="s">
        <v>37</v>
      </c>
      <c r="H39" s="22">
        <v>5</v>
      </c>
      <c r="I39" s="72">
        <v>82.5</v>
      </c>
      <c r="J39" s="73"/>
    </row>
    <row r="40" spans="1:10" ht="15.75" thickBot="1" x14ac:dyDescent="0.3">
      <c r="A40" s="20"/>
      <c r="B40" s="92" t="s">
        <v>129</v>
      </c>
      <c r="C40" s="93"/>
      <c r="D40" s="92" t="s">
        <v>141</v>
      </c>
      <c r="E40" s="94"/>
      <c r="F40" s="94"/>
      <c r="G40" s="95"/>
      <c r="H40" s="65">
        <f>SUM(H29:H39)</f>
        <v>61</v>
      </c>
      <c r="I40" s="18">
        <f>SUM(I29:I39)</f>
        <v>409.3</v>
      </c>
      <c r="J40" s="18">
        <f>I40+25</f>
        <v>434.3</v>
      </c>
    </row>
    <row r="41" spans="1:10" x14ac:dyDescent="0.25">
      <c r="A41" s="20"/>
      <c r="B41" s="77">
        <v>858241</v>
      </c>
      <c r="C41" s="77">
        <v>30</v>
      </c>
      <c r="D41" s="77" t="s">
        <v>13</v>
      </c>
      <c r="E41" s="77" t="s">
        <v>9</v>
      </c>
      <c r="F41" s="77">
        <v>2000130403</v>
      </c>
      <c r="G41" s="77" t="s">
        <v>14</v>
      </c>
      <c r="H41" s="75">
        <v>10</v>
      </c>
      <c r="I41" s="78">
        <v>35</v>
      </c>
      <c r="J41" s="76"/>
    </row>
    <row r="42" spans="1:10" x14ac:dyDescent="0.25">
      <c r="A42" s="20"/>
      <c r="B42" s="67">
        <v>858241</v>
      </c>
      <c r="C42" s="67">
        <v>40</v>
      </c>
      <c r="D42" s="67" t="s">
        <v>15</v>
      </c>
      <c r="E42" s="67" t="s">
        <v>9</v>
      </c>
      <c r="F42" s="67">
        <v>2000130437</v>
      </c>
      <c r="G42" s="67" t="s">
        <v>16</v>
      </c>
      <c r="H42" s="62">
        <v>5</v>
      </c>
      <c r="I42" s="64">
        <v>12</v>
      </c>
      <c r="J42" s="63"/>
    </row>
    <row r="43" spans="1:10" x14ac:dyDescent="0.25">
      <c r="A43" s="20"/>
      <c r="B43" s="67">
        <v>858241</v>
      </c>
      <c r="C43" s="67">
        <v>50</v>
      </c>
      <c r="D43" s="67" t="s">
        <v>17</v>
      </c>
      <c r="E43" s="67" t="s">
        <v>9</v>
      </c>
      <c r="F43" s="67">
        <v>2000130423</v>
      </c>
      <c r="G43" s="67" t="s">
        <v>18</v>
      </c>
      <c r="H43" s="62">
        <v>10</v>
      </c>
      <c r="I43" s="64">
        <v>38</v>
      </c>
      <c r="J43" s="63"/>
    </row>
    <row r="44" spans="1:10" x14ac:dyDescent="0.25">
      <c r="A44" s="20"/>
      <c r="B44" s="67">
        <v>858241</v>
      </c>
      <c r="C44" s="67">
        <v>100</v>
      </c>
      <c r="D44" s="67" t="s">
        <v>27</v>
      </c>
      <c r="E44" s="67" t="s">
        <v>9</v>
      </c>
      <c r="F44" s="67">
        <v>2000130417</v>
      </c>
      <c r="G44" s="67" t="s">
        <v>28</v>
      </c>
      <c r="H44" s="62">
        <v>9</v>
      </c>
      <c r="I44" s="64">
        <v>22.5</v>
      </c>
      <c r="J44" s="63"/>
    </row>
    <row r="45" spans="1:10" x14ac:dyDescent="0.25">
      <c r="A45" s="20"/>
      <c r="B45" s="67">
        <v>858241</v>
      </c>
      <c r="C45" s="67">
        <v>190</v>
      </c>
      <c r="D45" s="67" t="s">
        <v>42</v>
      </c>
      <c r="E45" s="67" t="s">
        <v>30</v>
      </c>
      <c r="F45" s="67">
        <v>2000170438</v>
      </c>
      <c r="G45" s="67" t="s">
        <v>43</v>
      </c>
      <c r="H45" s="62">
        <v>4</v>
      </c>
      <c r="I45" s="64">
        <v>65</v>
      </c>
      <c r="J45" s="63"/>
    </row>
    <row r="46" spans="1:10" x14ac:dyDescent="0.25">
      <c r="A46" s="20"/>
      <c r="B46" s="67">
        <v>858241</v>
      </c>
      <c r="C46" s="67">
        <v>200</v>
      </c>
      <c r="D46" s="67" t="s">
        <v>27</v>
      </c>
      <c r="E46" s="67" t="s">
        <v>30</v>
      </c>
      <c r="F46" s="67">
        <v>2000170434</v>
      </c>
      <c r="G46" s="67" t="s">
        <v>28</v>
      </c>
      <c r="H46" s="62">
        <v>2</v>
      </c>
      <c r="I46" s="64">
        <v>5</v>
      </c>
      <c r="J46" s="63"/>
    </row>
    <row r="47" spans="1:10" x14ac:dyDescent="0.25">
      <c r="A47" s="20"/>
      <c r="B47" s="67">
        <v>858241</v>
      </c>
      <c r="C47" s="67">
        <v>220</v>
      </c>
      <c r="D47" s="67" t="s">
        <v>45</v>
      </c>
      <c r="E47" s="67" t="s">
        <v>30</v>
      </c>
      <c r="F47" s="67">
        <v>2000068643</v>
      </c>
      <c r="G47" s="67" t="s">
        <v>46</v>
      </c>
      <c r="H47" s="62">
        <v>4</v>
      </c>
      <c r="I47" s="64">
        <v>48.8</v>
      </c>
      <c r="J47" s="63"/>
    </row>
    <row r="48" spans="1:10" x14ac:dyDescent="0.25">
      <c r="A48" s="20"/>
      <c r="B48" s="67">
        <v>858241</v>
      </c>
      <c r="C48" s="67">
        <v>90</v>
      </c>
      <c r="D48" s="67" t="s">
        <v>25</v>
      </c>
      <c r="E48" s="67" t="s">
        <v>9</v>
      </c>
      <c r="F48" s="67">
        <v>2000130617</v>
      </c>
      <c r="G48" s="67" t="s">
        <v>26</v>
      </c>
      <c r="H48" s="62">
        <v>10</v>
      </c>
      <c r="I48" s="64">
        <v>236.70000000000002</v>
      </c>
      <c r="J48" s="63"/>
    </row>
    <row r="49" spans="1:10" ht="15.75" thickBot="1" x14ac:dyDescent="0.3">
      <c r="A49" s="20"/>
      <c r="B49" s="79">
        <v>858241</v>
      </c>
      <c r="C49" s="79">
        <v>210</v>
      </c>
      <c r="D49" s="79" t="s">
        <v>44</v>
      </c>
      <c r="E49" s="79" t="s">
        <v>30</v>
      </c>
      <c r="F49" s="79">
        <v>2000232783</v>
      </c>
      <c r="G49" s="79">
        <v>3004654</v>
      </c>
      <c r="H49" s="74">
        <v>2</v>
      </c>
      <c r="I49" s="50">
        <v>17</v>
      </c>
      <c r="J49" s="24"/>
    </row>
    <row r="50" spans="1:10" ht="15.75" thickBot="1" x14ac:dyDescent="0.3">
      <c r="A50" s="20"/>
      <c r="B50" s="87" t="s">
        <v>132</v>
      </c>
      <c r="C50" s="88"/>
      <c r="D50" s="89" t="s">
        <v>142</v>
      </c>
      <c r="E50" s="90"/>
      <c r="F50" s="90"/>
      <c r="G50" s="91"/>
      <c r="H50" s="74">
        <f>SUM(H41:H49)</f>
        <v>56</v>
      </c>
      <c r="I50" s="24">
        <f>SUM(I41:I49)</f>
        <v>480</v>
      </c>
      <c r="J50" s="24">
        <f>I50+20</f>
        <v>500</v>
      </c>
    </row>
    <row r="51" spans="1:10" x14ac:dyDescent="0.25">
      <c r="A51" s="20"/>
      <c r="B51" s="77">
        <v>858241</v>
      </c>
      <c r="C51" s="77">
        <v>80</v>
      </c>
      <c r="D51" s="77" t="s">
        <v>23</v>
      </c>
      <c r="E51" s="77" t="s">
        <v>9</v>
      </c>
      <c r="F51" s="77">
        <v>2000130602</v>
      </c>
      <c r="G51" s="77" t="s">
        <v>24</v>
      </c>
      <c r="H51" s="75">
        <v>10</v>
      </c>
      <c r="I51" s="78">
        <v>438</v>
      </c>
      <c r="J51" s="78"/>
    </row>
    <row r="52" spans="1:10" ht="15.75" thickBot="1" x14ac:dyDescent="0.3">
      <c r="A52" s="20"/>
      <c r="B52" s="80">
        <v>858241</v>
      </c>
      <c r="C52" s="80">
        <v>180</v>
      </c>
      <c r="D52" s="80" t="s">
        <v>40</v>
      </c>
      <c r="E52" s="80" t="s">
        <v>30</v>
      </c>
      <c r="F52" s="80">
        <v>2000228947</v>
      </c>
      <c r="G52" s="80" t="s">
        <v>41</v>
      </c>
      <c r="H52" s="81">
        <v>2</v>
      </c>
      <c r="I52" s="82">
        <v>57.7</v>
      </c>
      <c r="J52" s="82"/>
    </row>
    <row r="53" spans="1:10" ht="15.75" thickBot="1" x14ac:dyDescent="0.3">
      <c r="A53" s="25" t="s">
        <v>133</v>
      </c>
      <c r="B53" s="90" t="s">
        <v>144</v>
      </c>
      <c r="C53" s="91"/>
      <c r="D53" s="89" t="s">
        <v>143</v>
      </c>
      <c r="E53" s="90"/>
      <c r="F53" s="90"/>
      <c r="G53" s="91"/>
      <c r="H53" s="26">
        <f>SUM(H51:H52)</f>
        <v>12</v>
      </c>
      <c r="I53" s="27">
        <f>SUM(I51:I52)</f>
        <v>495.7</v>
      </c>
      <c r="J53" s="24">
        <f>I53+25</f>
        <v>520.70000000000005</v>
      </c>
    </row>
    <row r="54" spans="1:10" ht="15.75" thickBot="1" x14ac:dyDescent="0.3">
      <c r="A54" s="28" t="s">
        <v>134</v>
      </c>
      <c r="B54" s="15"/>
      <c r="C54" s="15"/>
      <c r="D54" s="29"/>
      <c r="E54" s="29"/>
      <c r="F54" s="83" t="s">
        <v>135</v>
      </c>
      <c r="G54" s="84"/>
      <c r="H54" s="30">
        <f>H40+H50+H53</f>
        <v>129</v>
      </c>
      <c r="I54" s="31">
        <f>I40+I50+I53</f>
        <v>1385</v>
      </c>
      <c r="J54" s="31">
        <f>J40+J50+J53</f>
        <v>1455</v>
      </c>
    </row>
    <row r="55" spans="1:10" x14ac:dyDescent="0.25">
      <c r="A55" s="32" t="s">
        <v>136</v>
      </c>
      <c r="B55" s="33"/>
      <c r="C55" s="33"/>
      <c r="D55" s="34"/>
      <c r="E55" s="34"/>
      <c r="F55" s="35"/>
      <c r="G55" s="15"/>
      <c r="H55" s="36"/>
      <c r="I55" s="36"/>
      <c r="J55" s="37"/>
    </row>
    <row r="56" spans="1:10" x14ac:dyDescent="0.25">
      <c r="A56" s="32" t="s">
        <v>137</v>
      </c>
      <c r="B56" s="38"/>
      <c r="C56" s="38"/>
      <c r="D56" s="39"/>
      <c r="E56" s="39"/>
      <c r="F56" s="40"/>
      <c r="G56" s="41"/>
      <c r="H56" s="42"/>
      <c r="I56" s="42"/>
      <c r="J56" s="43"/>
    </row>
    <row r="57" spans="1:10" x14ac:dyDescent="0.25">
      <c r="A57" s="32" t="s">
        <v>138</v>
      </c>
      <c r="B57" s="38"/>
      <c r="C57" s="38"/>
      <c r="D57" s="39"/>
      <c r="E57" s="39"/>
      <c r="F57" s="40"/>
      <c r="G57" s="41"/>
      <c r="H57" s="42"/>
      <c r="I57" s="42"/>
      <c r="J57" s="43"/>
    </row>
    <row r="58" spans="1:10" ht="15.75" thickBot="1" x14ac:dyDescent="0.3">
      <c r="A58" s="44" t="s">
        <v>139</v>
      </c>
      <c r="B58" s="45"/>
      <c r="C58" s="45"/>
      <c r="D58" s="46"/>
      <c r="E58" s="46"/>
      <c r="F58" s="47" t="s">
        <v>140</v>
      </c>
      <c r="G58" s="48"/>
      <c r="H58" s="48"/>
      <c r="I58" s="85">
        <f>F4</f>
        <v>46155</v>
      </c>
      <c r="J58" s="86"/>
    </row>
  </sheetData>
  <mergeCells count="81">
    <mergeCell ref="A1:J1"/>
    <mergeCell ref="A2:E2"/>
    <mergeCell ref="F2:G2"/>
    <mergeCell ref="H2:J2"/>
    <mergeCell ref="A3:E3"/>
    <mergeCell ref="F3:G3"/>
    <mergeCell ref="H3:J3"/>
    <mergeCell ref="A4:E4"/>
    <mergeCell ref="F4:G4"/>
    <mergeCell ref="H4:J4"/>
    <mergeCell ref="A5:E5"/>
    <mergeCell ref="F5:G5"/>
    <mergeCell ref="H5:J5"/>
    <mergeCell ref="A10:E10"/>
    <mergeCell ref="F10:J10"/>
    <mergeCell ref="A6:E6"/>
    <mergeCell ref="F6:G6"/>
    <mergeCell ref="H6:J6"/>
    <mergeCell ref="A7:E7"/>
    <mergeCell ref="F7:G7"/>
    <mergeCell ref="H7:J7"/>
    <mergeCell ref="A8:E8"/>
    <mergeCell ref="F8:J8"/>
    <mergeCell ref="A9:C9"/>
    <mergeCell ref="D9:E9"/>
    <mergeCell ref="F9:J9"/>
    <mergeCell ref="A11:E11"/>
    <mergeCell ref="F11:J11"/>
    <mergeCell ref="A12:E12"/>
    <mergeCell ref="F12:J12"/>
    <mergeCell ref="A13:E13"/>
    <mergeCell ref="F13:J13"/>
    <mergeCell ref="A14:E14"/>
    <mergeCell ref="F14:G14"/>
    <mergeCell ref="H14:J14"/>
    <mergeCell ref="A15:E15"/>
    <mergeCell ref="F15:G15"/>
    <mergeCell ref="H15:J15"/>
    <mergeCell ref="A16:E16"/>
    <mergeCell ref="F16:G16"/>
    <mergeCell ref="H16:J16"/>
    <mergeCell ref="A17:B17"/>
    <mergeCell ref="C17:E17"/>
    <mergeCell ref="F17:J17"/>
    <mergeCell ref="A18:B18"/>
    <mergeCell ref="C18:E18"/>
    <mergeCell ref="F18:J18"/>
    <mergeCell ref="A19:B19"/>
    <mergeCell ref="C19:E19"/>
    <mergeCell ref="F19:J19"/>
    <mergeCell ref="A20:B20"/>
    <mergeCell ref="C20:E20"/>
    <mergeCell ref="F20:J20"/>
    <mergeCell ref="A21:B21"/>
    <mergeCell ref="C21:E21"/>
    <mergeCell ref="F21:J21"/>
    <mergeCell ref="A22:B22"/>
    <mergeCell ref="C22:E22"/>
    <mergeCell ref="F22:J22"/>
    <mergeCell ref="A23:B23"/>
    <mergeCell ref="C23:E23"/>
    <mergeCell ref="F23:J23"/>
    <mergeCell ref="I24:J24"/>
    <mergeCell ref="B25:C25"/>
    <mergeCell ref="I25:J25"/>
    <mergeCell ref="B26:C26"/>
    <mergeCell ref="D26:E26"/>
    <mergeCell ref="F26:H26"/>
    <mergeCell ref="B27:C27"/>
    <mergeCell ref="D27:E27"/>
    <mergeCell ref="F27:H27"/>
    <mergeCell ref="B24:C24"/>
    <mergeCell ref="D24:H25"/>
    <mergeCell ref="F54:G54"/>
    <mergeCell ref="I58:J58"/>
    <mergeCell ref="B50:C50"/>
    <mergeCell ref="D50:G50"/>
    <mergeCell ref="B40:C40"/>
    <mergeCell ref="D40:G40"/>
    <mergeCell ref="B53:C53"/>
    <mergeCell ref="D53:G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</vt:lpstr>
      <vt:lpstr>PACKINGLIST</vt:lpstr>
    </vt:vector>
  </TitlesOfParts>
  <Company>ameya engineers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Shyam Jagtap</cp:lastModifiedBy>
  <cp:lastPrinted>2026-05-12T10:50:23Z</cp:lastPrinted>
  <dcterms:created xsi:type="dcterms:W3CDTF">2013-04-19T09:36:41Z</dcterms:created>
  <dcterms:modified xsi:type="dcterms:W3CDTF">2026-05-14T04:11:54Z</dcterms:modified>
</cp:coreProperties>
</file>